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CEO_Dashboard" sheetId="1" state="visible" r:id="rId1"/>
    <sheet xmlns:r="http://schemas.openxmlformats.org/officeDocument/2006/relationships" name="1.UK_Top_Targets" sheetId="2" state="visible" r:id="rId2"/>
    <sheet xmlns:r="http://schemas.openxmlformats.org/officeDocument/2006/relationships" name="2.UK_Tech_Quant_Finance" sheetId="3" state="visible" r:id="rId3"/>
    <sheet xmlns:r="http://schemas.openxmlformats.org/officeDocument/2006/relationships" name="3.KR_타임라인_우선순위" sheetId="4" state="visible" r:id="rId4"/>
    <sheet xmlns:r="http://schemas.openxmlformats.org/officeDocument/2006/relationships" name="4.KR_Tech_BCI" sheetId="5" state="visible" r:id="rId5"/>
    <sheet xmlns:r="http://schemas.openxmlformats.org/officeDocument/2006/relationships" name="5.KR_전략_대기업_금융" sheetId="6" state="visible" r:id="rId6"/>
    <sheet xmlns:r="http://schemas.openxmlformats.org/officeDocument/2006/relationships" name="6.Global_BCI_Map" sheetId="7" state="visible" r:id="rId7"/>
    <sheet xmlns:r="http://schemas.openxmlformats.org/officeDocument/2006/relationships" name="7.BCI_Research_DB" sheetId="8" state="visible" r:id="rId8"/>
  </sheets>
  <definedNames>
    <definedName name="_xlnm._FilterDatabase" localSheetId="0" hidden="1">'0.CEO_Dashboard'!$B$11:$G$18</definedName>
    <definedName name="_xlnm._FilterDatabase" localSheetId="1" hidden="1">'1.UK_Top_Targets'!$A$1:$L$20</definedName>
    <definedName name="_xlnm._FilterDatabase" localSheetId="2" hidden="1">'2.UK_Tech_Quant_Finance'!$A$1:$I$73</definedName>
    <definedName name="_xlnm._FilterDatabase" localSheetId="3" hidden="1">'3.KR_타임라인_우선순위'!$A$1:$K$64</definedName>
    <definedName name="_xlnm._FilterDatabase" localSheetId="4" hidden="1">'4.KR_Tech_BCI'!$A$2:$I$49</definedName>
    <definedName name="_xlnm._FilterDatabase" localSheetId="5" hidden="1">'5.KR_전략_대기업_금융'!$A$2:$I$30</definedName>
    <definedName name="_xlnm._FilterDatabase" localSheetId="6" hidden="1">'6.Global_BCI_Map'!$A$1:$E$29</definedName>
    <definedName name="_xlnm._FilterDatabase" localSheetId="7" hidden="1">'7.BCI_Research_DB'!$A$1:$K$85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0"/>
    </font>
    <font>
      <name val="Calibri"/>
      <b val="1"/>
      <color rgb="00FFFFFF"/>
      <sz val="12"/>
    </font>
    <font>
      <name val="Calibri"/>
      <b val="1"/>
      <color rgb="00595959"/>
      <sz val="9"/>
    </font>
    <font>
      <name val="Calibri"/>
      <b val="1"/>
      <color rgb="001F4E79"/>
      <sz val="18"/>
    </font>
    <font>
      <name val="Calibri"/>
      <i val="1"/>
      <color rgb="00595959"/>
      <sz val="8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0563C1"/>
      <sz val="10"/>
      <u val="single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9"/>
    </font>
    <font>
      <name val="Segoe UI"/>
      <color rgb="000000EE"/>
      <sz val="9"/>
      <u val="single"/>
    </font>
    <font>
      <name val="Calibri"/>
      <b val="1"/>
      <color rgb="001F4E79"/>
      <sz val="10"/>
    </font>
    <font>
      <name val="Calibri"/>
      <color rgb="000563C1"/>
      <sz val="10"/>
      <u val="single"/>
    </font>
    <font>
      <name val="Calibri"/>
      <b val="1"/>
      <color rgb="001F4E79"/>
      <sz val="9"/>
    </font>
    <font>
      <name val="Calibri"/>
      <b val="1"/>
      <color rgb="002E75B6"/>
      <sz val="9"/>
    </font>
    <font>
      <name val="Malgun Gothic"/>
      <b val="1"/>
      <color rgb="00FFFFFF"/>
      <sz val="11"/>
    </font>
    <font>
      <name val="Malgun Gothic"/>
      <b val="1"/>
      <color rgb="00C00000"/>
      <sz val="10"/>
    </font>
    <font>
      <name val="Calibri"/>
      <b val="1"/>
      <color rgb="00C00000"/>
      <sz val="10"/>
    </font>
    <font>
      <name val="Calibri"/>
      <b val="1"/>
      <color rgb="00FFFFFF"/>
      <sz val="11"/>
    </font>
    <font>
      <name val="Malgun Gothic"/>
      <sz val="10"/>
    </font>
    <font>
      <name val="Malgun Gothic"/>
      <color rgb="00004B87"/>
      <sz val="10"/>
      <u val="single"/>
    </font>
    <font>
      <name val="Malgun Gothic"/>
      <b val="1"/>
      <color rgb="0022543D"/>
      <sz val="10"/>
    </font>
    <font>
      <name val="Calibri"/>
      <b val="1"/>
      <color rgb="FFFFFFFF"/>
      <sz val="11"/>
    </font>
    <font>
      <name val="Calibri"/>
      <family val="2"/>
      <color rgb="FF0070C0"/>
      <sz val="11"/>
      <u val="single"/>
      <scheme val="minor"/>
    </font>
    <font>
      <name val="Calibri"/>
      <color rgb="FF0000FF"/>
      <sz val="10"/>
      <u val="single"/>
    </font>
    <font>
      <name val="Calibri"/>
      <b val="1"/>
      <color rgb="007030A0"/>
      <sz val="10"/>
    </font>
    <font>
      <name val="Calibri"/>
      <family val="2"/>
      <b val="1"/>
      <color rgb="FFFFFFFF"/>
      <sz val="11"/>
    </font>
    <font>
      <name val="Calibri"/>
      <b val="1"/>
      <color rgb="FF2C3E50"/>
      <sz val="11"/>
    </font>
    <font>
      <name val="Calibri"/>
      <color rgb="FF0000FF"/>
      <sz val="11"/>
      <u val="single"/>
    </font>
    <font>
      <name val="Calibri"/>
      <color rgb="FF000000"/>
      <sz val="11"/>
    </font>
    <font>
      <name val="Calibri"/>
      <family val="2"/>
      <color rgb="FF0070C0"/>
      <sz val="11"/>
      <u val="single"/>
    </font>
  </fonts>
  <fills count="2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C3E50"/>
        <bgColor rgb="002C3E50"/>
      </patternFill>
    </fill>
    <fill>
      <patternFill patternType="solid">
        <fgColor rgb="00F2F4F8"/>
        <bgColor rgb="00F2F4F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1B365D"/>
        <bgColor rgb="001B365D"/>
      </patternFill>
    </fill>
    <fill>
      <patternFill patternType="solid">
        <fgColor rgb="00E8F8F5"/>
        <bgColor rgb="00E8F8F5"/>
      </patternFill>
    </fill>
    <fill>
      <patternFill patternType="solid">
        <fgColor rgb="00EBF5FB"/>
        <bgColor rgb="00EBF5FB"/>
      </patternFill>
    </fill>
    <fill>
      <patternFill patternType="solid">
        <fgColor rgb="00FEF9E7"/>
        <bgColor rgb="00FEF9E7"/>
      </patternFill>
    </fill>
    <fill>
      <patternFill patternType="solid">
        <fgColor rgb="0016365C"/>
        <bgColor rgb="0016365C"/>
      </patternFill>
    </fill>
    <fill>
      <patternFill patternType="solid">
        <fgColor rgb="009C1818"/>
        <bgColor rgb="009C1818"/>
      </patternFill>
    </fill>
    <fill>
      <patternFill patternType="solid">
        <fgColor rgb="00A61C1C"/>
        <bgColor rgb="00A61C1C"/>
      </patternFill>
    </fill>
    <fill>
      <patternFill patternType="solid">
        <fgColor rgb="00C6F6D5"/>
        <bgColor rgb="00C6F6D5"/>
      </patternFill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F5EEF8"/>
        <bgColor rgb="FFF5EEF8"/>
      </patternFill>
    </fill>
    <fill>
      <patternFill patternType="solid">
        <fgColor rgb="FFEAFAF1"/>
        <bgColor rgb="FFEAFAF1"/>
      </patternFill>
    </fill>
    <fill>
      <patternFill patternType="solid">
        <fgColor rgb="FFFEF5E7"/>
        <bgColor rgb="FFFEF5E7"/>
      </patternFill>
    </fill>
    <fill>
      <patternFill patternType="solid">
        <fgColor rgb="FFFCF3CF"/>
        <bgColor rgb="FFFCF3CF"/>
      </patternFill>
    </fill>
    <fill>
      <patternFill patternType="solid">
        <fgColor rgb="004A206B"/>
        <bgColor rgb="004A206B"/>
      </patternFill>
    </fill>
    <fill>
      <patternFill patternType="solid">
        <fgColor rgb="FF1F4E78"/>
        <bgColor rgb="FF1F4E78"/>
      </patternFill>
    </fill>
    <fill>
      <patternFill patternType="solid">
        <fgColor rgb="FFF8F9F9"/>
        <bgColor rgb="FFF8F9F9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  <border>
      <left style="thin">
        <color rgb="FFD0D3D4"/>
      </left>
      <right/>
      <top/>
      <bottom/>
      <diagonal/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11" fillId="7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left" vertical="center"/>
    </xf>
    <xf numFmtId="0" fontId="13" fillId="9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left" vertical="center"/>
    </xf>
    <xf numFmtId="0" fontId="13" fillId="9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left" vertical="center"/>
    </xf>
    <xf numFmtId="0" fontId="13" fillId="10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left" vertical="center"/>
    </xf>
    <xf numFmtId="0" fontId="13" fillId="10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 wrapText="1"/>
    </xf>
    <xf numFmtId="0" fontId="19" fillId="7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22" fillId="13" borderId="0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center"/>
    </xf>
    <xf numFmtId="0" fontId="23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left" vertical="center" wrapText="1"/>
    </xf>
    <xf numFmtId="0" fontId="25" fillId="14" borderId="1" applyAlignment="1" pivotButton="0" quotePrefix="0" xfId="0">
      <alignment horizontal="left" vertical="center" wrapText="1"/>
    </xf>
    <xf numFmtId="0" fontId="7" fillId="21" borderId="3" applyAlignment="1" pivotButton="0" quotePrefix="0" xfId="0">
      <alignment horizontal="center" vertical="center" wrapText="1"/>
    </xf>
    <xf numFmtId="0" fontId="26" fillId="15" borderId="3" applyAlignment="1" pivotButton="0" quotePrefix="0" xfId="0">
      <alignment horizontal="center" vertical="center" wrapText="1"/>
    </xf>
    <xf numFmtId="0" fontId="29" fillId="16" borderId="3" applyAlignment="1" pivotButton="0" quotePrefix="0" xfId="0">
      <alignment horizontal="left" vertical="center"/>
    </xf>
    <xf numFmtId="0" fontId="0" fillId="16" borderId="3" applyAlignment="1" pivotButton="0" quotePrefix="0" xfId="0">
      <alignment horizontal="center" vertical="center" wrapText="1"/>
    </xf>
    <xf numFmtId="0" fontId="27" fillId="16" borderId="3" applyAlignment="1" pivotButton="0" quotePrefix="0" xfId="0">
      <alignment horizontal="center" vertical="center" wrapText="1"/>
    </xf>
    <xf numFmtId="0" fontId="28" fillId="16" borderId="3" applyAlignment="1" pivotButton="0" quotePrefix="0" xfId="0">
      <alignment horizontal="center" vertical="center" wrapText="1"/>
    </xf>
    <xf numFmtId="0" fontId="29" fillId="17" borderId="3" applyAlignment="1" pivotButton="0" quotePrefix="0" xfId="0">
      <alignment horizontal="left" vertical="center"/>
    </xf>
    <xf numFmtId="0" fontId="0" fillId="17" borderId="3" applyAlignment="1" pivotButton="0" quotePrefix="0" xfId="0">
      <alignment horizontal="center" vertical="center" wrapText="1"/>
    </xf>
    <xf numFmtId="0" fontId="28" fillId="17" borderId="3" applyAlignment="1" pivotButton="0" quotePrefix="0" xfId="0">
      <alignment horizontal="center" vertical="center" wrapText="1"/>
    </xf>
    <xf numFmtId="0" fontId="29" fillId="18" borderId="3" applyAlignment="1" pivotButton="0" quotePrefix="0" xfId="0">
      <alignment horizontal="left" vertical="center"/>
    </xf>
    <xf numFmtId="0" fontId="0" fillId="18" borderId="3" applyAlignment="1" pivotButton="0" quotePrefix="0" xfId="0">
      <alignment horizontal="center" vertical="center" wrapText="1"/>
    </xf>
    <xf numFmtId="0" fontId="28" fillId="18" borderId="3" applyAlignment="1" pivotButton="0" quotePrefix="0" xfId="0">
      <alignment horizontal="center" vertical="center" wrapText="1"/>
    </xf>
    <xf numFmtId="0" fontId="29" fillId="19" borderId="3" applyAlignment="1" pivotButton="0" quotePrefix="0" xfId="0">
      <alignment horizontal="left" vertical="center"/>
    </xf>
    <xf numFmtId="0" fontId="0" fillId="19" borderId="3" applyAlignment="1" pivotButton="0" quotePrefix="0" xfId="0">
      <alignment horizontal="center" vertical="center" wrapText="1"/>
    </xf>
    <xf numFmtId="0" fontId="28" fillId="19" borderId="3" applyAlignment="1" pivotButton="0" quotePrefix="0" xfId="0">
      <alignment horizontal="center" vertical="center" wrapText="1"/>
    </xf>
    <xf numFmtId="0" fontId="29" fillId="20" borderId="3" applyAlignment="1" pivotButton="0" quotePrefix="0" xfId="0">
      <alignment horizontal="left" vertical="center"/>
    </xf>
    <xf numFmtId="0" fontId="0" fillId="20" borderId="3" applyAlignment="1" pivotButton="0" quotePrefix="0" xfId="0">
      <alignment horizontal="center" vertical="center" wrapText="1"/>
    </xf>
    <xf numFmtId="0" fontId="28" fillId="20" borderId="3" applyAlignment="1" pivotButton="0" quotePrefix="0" xfId="0">
      <alignment horizontal="center" vertical="center" wrapText="1"/>
    </xf>
    <xf numFmtId="0" fontId="30" fillId="22" borderId="3" applyAlignment="1" pivotButton="0" quotePrefix="0" xfId="0">
      <alignment horizontal="center" vertical="center" wrapText="1"/>
    </xf>
    <xf numFmtId="0" fontId="29" fillId="23" borderId="3" applyAlignment="1" pivotButton="0" quotePrefix="0" xfId="0">
      <alignment horizontal="left" vertical="center"/>
    </xf>
    <xf numFmtId="0" fontId="32" fillId="23" borderId="3" applyAlignment="1" pivotButton="0" quotePrefix="0" xfId="0">
      <alignment horizontal="left" vertical="center" wrapText="1"/>
    </xf>
    <xf numFmtId="0" fontId="0" fillId="23" borderId="3" applyAlignment="1" pivotButton="0" quotePrefix="0" xfId="0">
      <alignment horizontal="left" vertical="center" wrapText="1"/>
    </xf>
    <xf numFmtId="0" fontId="33" fillId="23" borderId="3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9" fillId="24" borderId="3" applyAlignment="1" pivotButton="0" quotePrefix="0" xfId="0">
      <alignment horizontal="left" vertical="center"/>
    </xf>
    <xf numFmtId="0" fontId="32" fillId="24" borderId="3" applyAlignment="1" pivotButton="0" quotePrefix="0" xfId="0">
      <alignment horizontal="left" vertical="center" wrapText="1"/>
    </xf>
    <xf numFmtId="0" fontId="0" fillId="24" borderId="3" applyAlignment="1" pivotButton="0" quotePrefix="0" xfId="0">
      <alignment horizontal="left" vertical="center" wrapText="1"/>
    </xf>
    <xf numFmtId="0" fontId="34" fillId="24" borderId="3" applyAlignment="1" pivotButton="0" quotePrefix="0" xfId="0">
      <alignment horizontal="left" vertical="center" wrapText="1"/>
    </xf>
    <xf numFmtId="0" fontId="34" fillId="23" borderId="3" applyAlignment="1" pivotButton="0" quotePrefix="0" xfId="0">
      <alignment horizontal="left" vertical="center" wrapText="1"/>
    </xf>
    <xf numFmtId="0" fontId="33" fillId="24" borderId="3" applyAlignment="1" pivotButton="0" quotePrefix="0" xfId="0">
      <alignment horizontal="left" vertical="center" wrapText="1"/>
    </xf>
    <xf numFmtId="0" fontId="27" fillId="23" borderId="3" applyAlignment="1" pivotButton="0" quotePrefix="0" xfId="0">
      <alignment horizontal="left" vertical="center" wrapText="1"/>
    </xf>
    <xf numFmtId="0" fontId="27" fillId="24" borderId="3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bs.lever.co/palantir/44129013-01e0-4699-8fc1-7a189bb37b63" TargetMode="External" Id="rId1"/><Relationship Type="http://schemas.openxmlformats.org/officeDocument/2006/relationships/hyperlink" Target="https://jobs.lever.co/palantir/599b1907-aba1-4303-837b-66e69a521636" TargetMode="External" Id="rId2"/><Relationship Type="http://schemas.openxmlformats.org/officeDocument/2006/relationships/hyperlink" Target="https://www.tower-research.com/open-positions/?gh_jid=8037860" TargetMode="External" Id="rId3"/><Relationship Type="http://schemas.openxmlformats.org/officeDocument/2006/relationships/hyperlink" Target="https://www.jumptrading.com/hr/job?gh_jid=7977145" TargetMode="External" Id="rId4"/><Relationship Type="http://schemas.openxmlformats.org/officeDocument/2006/relationships/hyperlink" Target="https://www.jumptrading.com/hr/job?gh_jid=8010307" TargetMode="External" Id="rId5"/><Relationship Type="http://schemas.openxmlformats.org/officeDocument/2006/relationships/hyperlink" Target="https://careers.americanexpress.com/en/sites/CX_1/job/26013758/" TargetMode="External" Id="rId6"/><Relationship Type="http://schemas.openxmlformats.org/officeDocument/2006/relationships/hyperlink" Target="https://job-boards.eu.greenhouse.io/mangroup/jobs/4974906101" TargetMode="External" Id="rId7"/><Relationship Type="http://schemas.openxmlformats.org/officeDocument/2006/relationships/hyperlink" Target="https://job-boards.eu.greenhouse.io/mangroup/jobs/4978934101" TargetMode="External" Id="rId8"/><Relationship Type="http://schemas.openxmlformats.org/officeDocument/2006/relationships/hyperlink" Target="https://ecnf.fa.us2.oraclecloud.com/hcmUI/CandidateExperience/en/sites/CX/job/301900/" TargetMode="External" Id="rId9"/><Relationship Type="http://schemas.openxmlformats.org/officeDocument/2006/relationships/hyperlink" Target="https://www.bain.com/careers/find-a-role/position/?jobid=109373" TargetMode="External" Id="rId10"/><Relationship Type="http://schemas.openxmlformats.org/officeDocument/2006/relationships/hyperlink" Target="https://jobs.lever.co/palantir/76a60923-bb49-40f5-b061-7c7eb1299602" TargetMode="External" Id="rId11"/><Relationship Type="http://schemas.openxmlformats.org/officeDocument/2006/relationships/hyperlink" Target="https://job-boards.eu.greenhouse.io/imc/jobs/4912874101" TargetMode="External" Id="rId12"/><Relationship Type="http://schemas.openxmlformats.org/officeDocument/2006/relationships/hyperlink" Target="https://grnh.se/103h8wnc2us" TargetMode="External" Id="rId13"/><Relationship Type="http://schemas.openxmlformats.org/officeDocument/2006/relationships/hyperlink" Target="https://www.hudsonrivertrading.com/hrt-job/software-engineering-internship-c-or-python-summer-2027/" TargetMode="External" Id="rId14"/><Relationship Type="http://schemas.openxmlformats.org/officeDocument/2006/relationships/hyperlink" Target="https://grnh.se/bytkm3y62us" TargetMode="External" Id="rId15"/><Relationship Type="http://schemas.openxmlformats.org/officeDocument/2006/relationships/hyperlink" Target="https://job-boards.greenhouse.io/quadraturecapital/jobs/4255974" TargetMode="External" Id="rId16"/><Relationship Type="http://schemas.openxmlformats.org/officeDocument/2006/relationships/hyperlink" Target="https://job-boards.greenhouse.io/virtu/jobs/8745933002" TargetMode="External" Id="rId17"/><Relationship Type="http://schemas.openxmlformats.org/officeDocument/2006/relationships/hyperlink" Target="https://job-boards.greenhouse.io/mavensecuritiesholdingltd/jobs/7806970" TargetMode="External" Id="rId18"/><Relationship Type="http://schemas.openxmlformats.org/officeDocument/2006/relationships/hyperlink" Target="https://jobs.smartrecruiters.com/TTP1/744000149038070" TargetMode="External" Id="rId19"/></Relationships>
</file>

<file path=xl/worksheets/_rels/sheet3.xml.rels><Relationships xmlns="http://schemas.openxmlformats.org/package/2006/relationships"><Relationship Type="http://schemas.openxmlformats.org/officeDocument/2006/relationships/hyperlink" Target="https://careers.americanexpress.com/en/sites/CX_1/job/26013758/?utm_medium=tracker&amp;utm_source=Trackr&amp;utm_campaign=UK_Tech_2027" TargetMode="External" Id="rId1"/><Relationship Type="http://schemas.openxmlformats.org/officeDocument/2006/relationships/hyperlink" Target="https://careers.americanexpress.com/en/sites/CX_1/job/26013761/?utm_medium=tracker&amp;utm_source=Trackr&amp;utm_campaign=UK_Tech_2027" TargetMode="External" Id="rId2"/><Relationship Type="http://schemas.openxmlformats.org/officeDocument/2006/relationships/hyperlink" Target="https://carreiras.btgpactual.com/vagas/hr/summer-undergrad-2027/6113588004?utm_source=Trackr&amp;utm_medium=tracker&amp;utm_campaign=UK_Tech_2027" TargetMode="External" Id="rId3"/><Relationship Type="http://schemas.openxmlformats.org/officeDocument/2006/relationships/hyperlink" Target="https://www.quantbot.com/careers/?gh_jid=4299858009&amp;utm_source=Trackr&amp;utm_medium=tracker&amp;utm_campaign=UK_Tech_2027&amp;gh_src=Trackr" TargetMode="External" Id="rId4"/><Relationship Type="http://schemas.openxmlformats.org/officeDocument/2006/relationships/hyperlink" Target="https://ecnf.fa.us2.oraclecloud.com/hcmUI/CandidateExperience/en/sites/CX/job/301900/?utm_medium=tracker&amp;utm_source=Trackr&amp;utm_campaign=UK_Tech_2027&amp;iis=Trackr&amp;sType=Trackr" TargetMode="External" Id="rId5"/><Relationship Type="http://schemas.openxmlformats.org/officeDocument/2006/relationships/hyperlink" Target="https://job-boards.eu.greenhouse.io/imc/jobs/4912874101?utm_source=Trackr&amp;utm_medium=tracker&amp;utm_campaign=UK_Tech_2027&amp;gh_src=Trackr" TargetMode="External" Id="rId6"/><Relationship Type="http://schemas.openxmlformats.org/officeDocument/2006/relationships/hyperlink" Target="https://job-boards.eu.greenhouse.io/mangroup/jobs/4978934101?utm_source=Trackr&amp;utm_medium=tracker&amp;utm_campaign=UK_Tech_2027&amp;gh_src=Trackr" TargetMode="External" Id="rId7"/><Relationship Type="http://schemas.openxmlformats.org/officeDocument/2006/relationships/hyperlink" Target="https://www.janestreet.com/join-jane-street/open-roles/?utm_source=Trackr&amp;utm_medium=tracker&amp;utm_campaign=UK_Tech_2027&amp;type=internship&amp;location=london" TargetMode="External" Id="rId8"/><Relationship Type="http://schemas.openxmlformats.org/officeDocument/2006/relationships/hyperlink" Target="https://careers.americanexpress.com/en/sites/CX_1/jobs?intlink=us-amex-career-en-us-GlobalStudentsPage-Explore-student-opportunities&amp;keyword=internship+%22software+engineer%22&amp;lastSelectedFacet=AttributeChar6&amp;location=United+Kingdom&amp;locationId=300000000228702&amp;locationLevel=country&amp;mode=location&amp;selectedFlexFieldsFacets=%22AttributeChar6%7CTechnology%22&amp;utm_source=Trackr&amp;utm_medium=tracker&amp;utm_campaign=UK_Tech_2027" TargetMode="External" Id="rId9"/><Relationship Type="http://schemas.openxmlformats.org/officeDocument/2006/relationships/hyperlink" Target="https://www.bain.com/careers/find-a-role/position/?jobid=109373&amp;utm_source=Trackr&amp;utm_medium=tracker&amp;utm_campaign=UK_Tech_2027" TargetMode="External" Id="rId10"/><Relationship Type="http://schemas.openxmlformats.org/officeDocument/2006/relationships/hyperlink" Target="https://jobs.smartrecruiters.com/TTP1/744000149038758-summer-internship-software-engineering-consultant-2027?utm_source=Trackr&amp;utm_medium=tracker&amp;utm_campaign=UK_Tech_2027&amp;trid=Trackr&amp;dcr_ci=Trackr" TargetMode="External" Id="rId11"/><Relationship Type="http://schemas.openxmlformats.org/officeDocument/2006/relationships/hyperlink" Target="https://grnh.se/103h8wnc2us" TargetMode="External" Id="rId1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ubs.com/global/en/careers.html" TargetMode="External" Id="rId1"/><Relationship Type="http://schemas.openxmlformats.org/officeDocument/2006/relationships/hyperlink" Target="https://www.morganstanley.com/people-opportunities/students-graduates" TargetMode="External" Id="rId2"/><Relationship Type="http://schemas.openxmlformats.org/officeDocument/2006/relationships/hyperlink" Target="https://www.jpmorganchase.com/careers" TargetMode="External" Id="rId3"/><Relationship Type="http://schemas.openxmlformats.org/officeDocument/2006/relationships/hyperlink" Target="https://toss.im/career/job-detail?job_id=4071141003" TargetMode="External" Id="rId4"/><Relationship Type="http://schemas.openxmlformats.org/officeDocument/2006/relationships/hyperlink" Target="https://www.goldmansachs.com/careers/students/programs/" TargetMode="External" Id="rId5"/><Relationship Type="http://schemas.openxmlformats.org/officeDocument/2006/relationships/hyperlink" Target="https://www.mckinsey.com/kr/careers" TargetMode="External" Id="rId6"/><Relationship Type="http://schemas.openxmlformats.org/officeDocument/2006/relationships/hyperlink" Target="https://jobs.citi.com/search-jobs/Seoul%2C%20South%20Korea/287/4/1835848-1835847/37x56667/126x97806/50/2" TargetMode="External" Id="rId7"/><Relationship Type="http://schemas.openxmlformats.org/officeDocument/2006/relationships/hyperlink" Target="https://jobs.citi.com/search-jobs/Seoul%2C%20South%20Korea/287/4/1835848-1835847/37x56667/126x97806/50/2" TargetMode="External" Id="rId8"/><Relationship Type="http://schemas.openxmlformats.org/officeDocument/2006/relationships/hyperlink" Target="https://www.wanted.co.kr/wd/293701" TargetMode="External" Id="rId9"/><Relationship Type="http://schemas.openxmlformats.org/officeDocument/2006/relationships/hyperlink" Target="https://www.wanted.co.kr/wd/379363" TargetMode="External" Id="rId10"/><Relationship Type="http://schemas.openxmlformats.org/officeDocument/2006/relationships/hyperlink" Target="https://www.wanted.co.kr/wd/293704" TargetMode="External" Id="rId11"/><Relationship Type="http://schemas.openxmlformats.org/officeDocument/2006/relationships/hyperlink" Target="https://www.wanted.co.kr/company/18629" TargetMode="External" Id="rId12"/><Relationship Type="http://schemas.openxmlformats.org/officeDocument/2006/relationships/hyperlink" Target="https://www.wanted.co.kr/search?query=%EB%85%B8%ED%83%80%20NetsPresso" TargetMode="External" Id="rId13"/><Relationship Type="http://schemas.openxmlformats.org/officeDocument/2006/relationships/hyperlink" Target="https://www.wanted.co.kr/search?query=%EC%97%85%EC%8A%A4%ED%85%8C%EC%9D%B4%EC%A7%80%20%EC%9D%B8%ED%84%B4" TargetMode="External" Id="rId14"/><Relationship Type="http://schemas.openxmlformats.org/officeDocument/2006/relationships/hyperlink" Target="https://www.wanted.co.kr/search?query=%EC%B1%84%EB%84%80%EC%BD%94%ED%8D%BC%EB%A0%88%EC%9D%B4%EC%85%98%20%EC%9D%B8%ED%84%B4" TargetMode="External" Id="rId15"/><Relationship Type="http://schemas.openxmlformats.org/officeDocument/2006/relationships/hyperlink" Target="https://www.wanted.co.kr/search?query=%ED%94%BC%EC%B9%B4%EB%B6%80%EB%9E%A9%EC%8A%A4" TargetMode="External" Id="rId16"/><Relationship Type="http://schemas.openxmlformats.org/officeDocument/2006/relationships/hyperlink" Target="https://www.superookie.com/jobs?keyword=%EB%8B%B9%EA%B7%BC" TargetMode="External" Id="rId17"/><Relationship Type="http://schemas.openxmlformats.org/officeDocument/2006/relationships/hyperlink" Target="https://www.superookie.com/jobs?keyword=%EB%8B%B9%EA%B7%BC" TargetMode="External" Id="rId18"/><Relationship Type="http://schemas.openxmlformats.org/officeDocument/2006/relationships/hyperlink" Target="https://www.wanted.co.kr/company/1258" TargetMode="External" Id="rId19"/><Relationship Type="http://schemas.openxmlformats.org/officeDocument/2006/relationships/hyperlink" Target="https://www.superookie.com/jobs?keyword=%ED%94%8C%EB%A0%89%EC%8A%A4" TargetMode="External" Id="rId20"/><Relationship Type="http://schemas.openxmlformats.org/officeDocument/2006/relationships/hyperlink" Target="https://www.amazon.jobs/en/locations/seoul-south-korea" TargetMode="External" Id="rId21"/><Relationship Type="http://schemas.openxmlformats.org/officeDocument/2006/relationships/hyperlink" Target="https://www.coupang.jobs/" TargetMode="External" Id="rId22"/><Relationship Type="http://schemas.openxmlformats.org/officeDocument/2006/relationships/hyperlink" Target="https://www.wanted.co.kr/search?query=%EB%A0%88%EB%8Ext%EC%9E%87%20Data%20Analyst" TargetMode="External" Id="rId23"/><Relationship Type="http://schemas.openxmlformats.org/officeDocument/2006/relationships/hyperlink" Target="https://www.superookie.com/jobs?keyword=%EB%8B%B9%EA%B7%BC" TargetMode="External" Id="rId24"/><Relationship Type="http://schemas.openxmlformats.org/officeDocument/2006/relationships/hyperlink" Target="https://www.wanted.co.kr/company/5251" TargetMode="External" Id="rId25"/><Relationship Type="http://schemas.openxmlformats.org/officeDocument/2006/relationships/hyperlink" Target="https://www.wanted.co.kr/search?query=%EC%99%80%EC%9D%B4%EC%A6%90%EB%A6%AC%20%EB%8D%B0%EC%9D%B4%ED%84%B0" TargetMode="External" Id="rId26"/><Relationship Type="http://schemas.openxmlformats.org/officeDocument/2006/relationships/hyperlink" Target="https://www.wanted.co.kr/company/10499" TargetMode="External" Id="rId27"/><Relationship Type="http://schemas.openxmlformats.org/officeDocument/2006/relationships/hyperlink" Target="https://www.wanted.co.kr/company/10499" TargetMode="External" Id="rId28"/><Relationship Type="http://schemas.openxmlformats.org/officeDocument/2006/relationships/hyperlink" Target="https://www.superookie.com/jobs?keyword=%EC%BB%AC%EB%A6%AC" TargetMode="External" Id="rId29"/><Relationship Type="http://schemas.openxmlformats.org/officeDocument/2006/relationships/hyperlink" Target="https://www.wanted.co.kr/search?query=%ED%81%B4%EB%9E%98%EC%8A%A4101%20Data%20Analyst" TargetMode="External" Id="rId30"/><Relationship Type="http://schemas.openxmlformats.org/officeDocument/2006/relationships/hyperlink" Target="https://www.wanted.co.kr/search?query=%EB%89%B4%EB%A1%9C%ED%95%8F" TargetMode="External" Id="rId31"/><Relationship Type="http://schemas.openxmlformats.org/officeDocument/2006/relationships/hyperlink" Target="https://www.wanted.co.kr/search?query=%EB%A3%A9%EC%8B%9C%EB%93%9C%EB%9E%A9%EC%8A%A4" TargetMode="External" Id="rId32"/><Relationship Type="http://schemas.openxmlformats.org/officeDocument/2006/relationships/hyperlink" Target="https://vuno.co/career" TargetMode="External" Id="rId33"/><Relationship Type="http://schemas.openxmlformats.org/officeDocument/2006/relationships/hyperlink" Target="https://toss.im/career" TargetMode="External" Id="rId34"/><Relationship Type="http://schemas.openxmlformats.org/officeDocument/2006/relationships/hyperlink" Target="https://toss.im/career" TargetMode="External" Id="rId35"/><Relationship Type="http://schemas.openxmlformats.org/officeDocument/2006/relationships/hyperlink" Target="https://recruit.navercorp.com/" TargetMode="External" Id="rId36"/><Relationship Type="http://schemas.openxmlformats.org/officeDocument/2006/relationships/hyperlink" Target="https://careers.kakao.com/" TargetMode="External" Id="rId37"/><Relationship Type="http://schemas.openxmlformats.org/officeDocument/2006/relationships/hyperlink" Target="https://recruit.navercorp.com/" TargetMode="External" Id="rId38"/><Relationship Type="http://schemas.openxmlformats.org/officeDocument/2006/relationships/hyperlink" Target="https://careers.kakao.com/" TargetMode="External" Id="rId39"/><Relationship Type="http://schemas.openxmlformats.org/officeDocument/2006/relationships/hyperlink" Target="https://about.daangn.com/jobs" TargetMode="External" Id="rId40"/><Relationship Type="http://schemas.openxmlformats.org/officeDocument/2006/relationships/hyperlink" Target="https://careers.lg.com/" TargetMode="External" Id="rId41"/><Relationship Type="http://schemas.openxmlformats.org/officeDocument/2006/relationships/hyperlink" Target="https://www.samsungcareers.com/" TargetMode="External" Id="rId42"/><Relationship Type="http://schemas.openxmlformats.org/officeDocument/2006/relationships/hyperlink" Target="https://www.samsungcareers.com/" TargetMode="External" Id="rId43"/><Relationship Type="http://schemas.openxmlformats.org/officeDocument/2006/relationships/hyperlink" Target="https://www.kist.re.kr/ko/research/divisions/brain-science.do" TargetMode="External" Id="rId44"/><Relationship Type="http://schemas.openxmlformats.org/officeDocument/2006/relationships/hyperlink" Target="https://www.kist.re.kr/ko/research/divisions/brain-science.do" TargetMode="External" Id="rId45"/><Relationship Type="http://schemas.openxmlformats.org/officeDocument/2006/relationships/hyperlink" Target="http://pr.korea.ac.kr/" TargetMode="External" Id="rId46"/><Relationship Type="http://schemas.openxmlformats.org/officeDocument/2006/relationships/hyperlink" Target="https://milab.korea.ac.kr/" TargetMode="External" Id="rId47"/><Relationship Type="http://schemas.openxmlformats.org/officeDocument/2006/relationships/hyperlink" Target="https://talent.hyundai.com/" TargetMode="External" Id="rId48"/><Relationship Type="http://schemas.openxmlformats.org/officeDocument/2006/relationships/hyperlink" Target="https://careers.sktelecom.com/" TargetMode="External" Id="rId49"/><Relationship Type="http://schemas.openxmlformats.org/officeDocument/2006/relationships/hyperlink" Target="https://centers.ibs.re.kr/glia" TargetMode="External" Id="rId50"/><Relationship Type="http://schemas.openxmlformats.org/officeDocument/2006/relationships/hyperlink" Target="https://bioeng.kaist.ac.kr/" TargetMode="External" Id="rId51"/><Relationship Type="http://schemas.openxmlformats.org/officeDocument/2006/relationships/hyperlink" Target="https://bioeng.kaist.ac.kr/" TargetMode="External" Id="rId52"/><Relationship Type="http://schemas.openxmlformats.org/officeDocument/2006/relationships/hyperlink" Target="https://cns.snu.ac.kr/" TargetMode="External" Id="rId53"/><Relationship Type="http://schemas.openxmlformats.org/officeDocument/2006/relationships/hyperlink" Target="https://www.bain.com/careers/roles/act/" TargetMode="External" Id="rId54"/><Relationship Type="http://schemas.openxmlformats.org/officeDocument/2006/relationships/hyperlink" Target="https://careers.bcg.com/" TargetMode="External" Id="rId55"/><Relationship Type="http://schemas.openxmlformats.org/officeDocument/2006/relationships/hyperlink" Target="https://www.adlittle.com/en/careers" TargetMode="External" Id="rId56"/><Relationship Type="http://schemas.openxmlformats.org/officeDocument/2006/relationships/hyperlink" Target="https://careers.bcg.com/" TargetMode="External" Id="rId57"/><Relationship Type="http://schemas.openxmlformats.org/officeDocument/2006/relationships/hyperlink" Target="https://www.superookie.com/jobs?keyword=EY%ED%95%9C%EC%98%81" TargetMode="External" Id="rId58"/><Relationship Type="http://schemas.openxmlformats.org/officeDocument/2006/relationships/hyperlink" Target="https://www.superookie.com/jobs?keyword=%EC%BB%A4%EB%8B%88" TargetMode="External" Id="rId59"/><Relationship Type="http://schemas.openxmlformats.org/officeDocument/2006/relationships/hyperlink" Target="https://www.peoplenjob.com/" TargetMode="External" Id="rId60"/><Relationship Type="http://schemas.openxmlformats.org/officeDocument/2006/relationships/hyperlink" Target="https://www.mckinsey.com/kr/careers" TargetMode="External" Id="rId61"/><Relationship Type="http://schemas.openxmlformats.org/officeDocument/2006/relationships/hyperlink" Target="https://www.oliverwyman.com/careers.html" TargetMode="External" Id="rId62"/><Relationship Type="http://schemas.openxmlformats.org/officeDocument/2006/relationships/hyperlink" Target="https://www.superookie.com/jobs?keyword=%EB%A0%88%EB%8B%AC" TargetMode="External" Id="rId63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uperookie.com/jobs?keyword=%EB%8B%B9%EA%B7%BC" TargetMode="External" Id="rId1"/><Relationship Type="http://schemas.openxmlformats.org/officeDocument/2006/relationships/hyperlink" Target="https://www.superookie.com/jobs?keyword=%EB%8B%B9%EA%B7%BC" TargetMode="External" Id="rId2"/><Relationship Type="http://schemas.openxmlformats.org/officeDocument/2006/relationships/hyperlink" Target="https://www.wanted.co.kr/company/1258" TargetMode="External" Id="rId3"/><Relationship Type="http://schemas.openxmlformats.org/officeDocument/2006/relationships/hyperlink" Target="https://www.wanted.co.kr/company/5251" TargetMode="External" Id="rId4"/><Relationship Type="http://schemas.openxmlformats.org/officeDocument/2006/relationships/hyperlink" Target="https://www.wanted.co.kr/company/10499" TargetMode="External" Id="rId5"/><Relationship Type="http://schemas.openxmlformats.org/officeDocument/2006/relationships/hyperlink" Target="https://www.wanted.co.kr/company/10499" TargetMode="External" Id="rId6"/><Relationship Type="http://schemas.openxmlformats.org/officeDocument/2006/relationships/hyperlink" Target="https://www.amazon.jobs/en/locations/seoul-south-korea" TargetMode="External" Id="rId7"/><Relationship Type="http://schemas.openxmlformats.org/officeDocument/2006/relationships/hyperlink" Target="https://www.superookie.com/jobs?keyword=%EB%8B%B9%EA%B7%BC" TargetMode="External" Id="rId8"/><Relationship Type="http://schemas.openxmlformats.org/officeDocument/2006/relationships/hyperlink" Target="https://www.superookie.com/jobs?keyword=%EC%BB%AC%EB%A6%AC" TargetMode="External" Id="rId9"/><Relationship Type="http://schemas.openxmlformats.org/officeDocument/2006/relationships/hyperlink" Target="https://www.superookie.com/jobs?keyword=%ED%94%8C%EB%A0%89%EC%8A%A4" TargetMode="External" Id="rId10"/><Relationship Type="http://schemas.openxmlformats.org/officeDocument/2006/relationships/hyperlink" Target="https://www.wanted.co.kr/search?query=%ED%81%B4%EB%9E%98%EC%8A%A4101%20Data%20Analyst" TargetMode="External" Id="rId11"/><Relationship Type="http://schemas.openxmlformats.org/officeDocument/2006/relationships/hyperlink" Target="https://www.wanted.co.kr/search?query=%EC%99%80%EC%9D%B4%EC%A6%90%EB%A6%AC%20%EB%8D%B0%EC%9D%B4%ED%84%B0" TargetMode="External" Id="rId12"/><Relationship Type="http://schemas.openxmlformats.org/officeDocument/2006/relationships/hyperlink" Target="https://www.wanted.co.kr/search?query=%EB%A0%88%EB%8Ext%EC%9E%87%20Data%20Analyst" TargetMode="External" Id="rId13"/><Relationship Type="http://schemas.openxmlformats.org/officeDocument/2006/relationships/hyperlink" Target="https://www.coupang.jobs/" TargetMode="External" Id="rId14"/><Relationship Type="http://schemas.openxmlformats.org/officeDocument/2006/relationships/hyperlink" Target="https://toss.im/career/job-detail?job_id=4071141003" TargetMode="External" Id="rId15"/><Relationship Type="http://schemas.openxmlformats.org/officeDocument/2006/relationships/hyperlink" Target="https://toss.im/career" TargetMode="External" Id="rId16"/><Relationship Type="http://schemas.openxmlformats.org/officeDocument/2006/relationships/hyperlink" Target="https://toss.im/career" TargetMode="External" Id="rId17"/><Relationship Type="http://schemas.openxmlformats.org/officeDocument/2006/relationships/hyperlink" Target="https://recruit.navercorp.com/" TargetMode="External" Id="rId18"/><Relationship Type="http://schemas.openxmlformats.org/officeDocument/2006/relationships/hyperlink" Target="https://careers.kakao.com/" TargetMode="External" Id="rId19"/><Relationship Type="http://schemas.openxmlformats.org/officeDocument/2006/relationships/hyperlink" Target="https://www.wanted.co.kr/wd/293701" TargetMode="External" Id="rId20"/><Relationship Type="http://schemas.openxmlformats.org/officeDocument/2006/relationships/hyperlink" Target="https://www.wanted.co.kr/wd/379363" TargetMode="External" Id="rId21"/><Relationship Type="http://schemas.openxmlformats.org/officeDocument/2006/relationships/hyperlink" Target="https://www.wanted.co.kr/wd/293704" TargetMode="External" Id="rId22"/><Relationship Type="http://schemas.openxmlformats.org/officeDocument/2006/relationships/hyperlink" Target="https://www.wanted.co.kr/company/18629" TargetMode="External" Id="rId23"/><Relationship Type="http://schemas.openxmlformats.org/officeDocument/2006/relationships/hyperlink" Target="https://www.wanted.co.kr/search?query=%EC%97%85%EC%8A%A4%ED%85%8C%EC%9D%B4%EC%A7%80%20%EC%9D%B8%ED%84%B4" TargetMode="External" Id="rId24"/><Relationship Type="http://schemas.openxmlformats.org/officeDocument/2006/relationships/hyperlink" Target="https://www.wanted.co.kr/search?query=%EC%B1%84%EB%84%80%EC%BD%94%ED%8D%BC%EB%A0%88%EC%9D%B4%EC%85%98%20%EC%9D%B8%ED%84%B4" TargetMode="External" Id="rId25"/><Relationship Type="http://schemas.openxmlformats.org/officeDocument/2006/relationships/hyperlink" Target="https://www.wanted.co.kr/search?query=%EB%85%B8%ED%83%80%20NetsPresso" TargetMode="External" Id="rId26"/><Relationship Type="http://schemas.openxmlformats.org/officeDocument/2006/relationships/hyperlink" Target="https://www.wanted.co.kr/search?query=%ED%94%BC%EC%B9%B4%EB%B6%80%EB%9E%A9%EC%8A%A4" TargetMode="External" Id="rId27"/><Relationship Type="http://schemas.openxmlformats.org/officeDocument/2006/relationships/hyperlink" Target="https://recruit.navercorp.com/" TargetMode="External" Id="rId28"/><Relationship Type="http://schemas.openxmlformats.org/officeDocument/2006/relationships/hyperlink" Target="https://careers.kakao.com/" TargetMode="External" Id="rId29"/><Relationship Type="http://schemas.openxmlformats.org/officeDocument/2006/relationships/hyperlink" Target="https://about.daangn.com/jobs" TargetMode="External" Id="rId30"/><Relationship Type="http://schemas.openxmlformats.org/officeDocument/2006/relationships/hyperlink" Target="https://bioeng.kaist.ac.kr/" TargetMode="External" Id="rId31"/><Relationship Type="http://schemas.openxmlformats.org/officeDocument/2006/relationships/hyperlink" Target="https://bioeng.kaist.ac.kr/" TargetMode="External" Id="rId32"/><Relationship Type="http://schemas.openxmlformats.org/officeDocument/2006/relationships/hyperlink" Target="http://pr.korea.ac.kr/" TargetMode="External" Id="rId33"/><Relationship Type="http://schemas.openxmlformats.org/officeDocument/2006/relationships/hyperlink" Target="https://milab.korea.ac.kr/" TargetMode="External" Id="rId34"/><Relationship Type="http://schemas.openxmlformats.org/officeDocument/2006/relationships/hyperlink" Target="https://cns.snu.ac.kr/" TargetMode="External" Id="rId35"/><Relationship Type="http://schemas.openxmlformats.org/officeDocument/2006/relationships/hyperlink" Target="https://www.kist.re.kr/ko/research/divisions/brain-science.do" TargetMode="External" Id="rId36"/><Relationship Type="http://schemas.openxmlformats.org/officeDocument/2006/relationships/hyperlink" Target="https://www.kist.re.kr/ko/research/divisions/brain-science.do" TargetMode="External" Id="rId37"/><Relationship Type="http://schemas.openxmlformats.org/officeDocument/2006/relationships/hyperlink" Target="https://centers.ibs.re.kr/glia" TargetMode="External" Id="rId38"/><Relationship Type="http://schemas.openxmlformats.org/officeDocument/2006/relationships/hyperlink" Target="https://www.wanted.co.kr/search?query=%EB%A3%A9%EC%8B%9C%EB%93%9C%EB%9E%A9%EC%8A%A4" TargetMode="External" Id="rId39"/><Relationship Type="http://schemas.openxmlformats.org/officeDocument/2006/relationships/hyperlink" Target="https://www.wanted.co.kr/search?query=%EB%89%B4%EB%A1%9C%ED%95%8F" TargetMode="External" Id="rId40"/><Relationship Type="http://schemas.openxmlformats.org/officeDocument/2006/relationships/hyperlink" Target="https://vuno.co/career" TargetMode="External" Id="rId4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bain.com/careers/roles/act/" TargetMode="External" Id="rId1"/><Relationship Type="http://schemas.openxmlformats.org/officeDocument/2006/relationships/hyperlink" Target="https://www.mckinsey.com/kr/careers" TargetMode="External" Id="rId2"/><Relationship Type="http://schemas.openxmlformats.org/officeDocument/2006/relationships/hyperlink" Target="https://www.mckinsey.com/kr/careers" TargetMode="External" Id="rId3"/><Relationship Type="http://schemas.openxmlformats.org/officeDocument/2006/relationships/hyperlink" Target="https://careers.bcg.com/" TargetMode="External" Id="rId4"/><Relationship Type="http://schemas.openxmlformats.org/officeDocument/2006/relationships/hyperlink" Target="https://careers.bcg.com/" TargetMode="External" Id="rId5"/><Relationship Type="http://schemas.openxmlformats.org/officeDocument/2006/relationships/hyperlink" Target="https://www.superookie.com/jobs?keyword=%EC%BB%A4%EB%8B%88" TargetMode="External" Id="rId6"/><Relationship Type="http://schemas.openxmlformats.org/officeDocument/2006/relationships/hyperlink" Target="https://www.oliverwyman.com/careers.html" TargetMode="External" Id="rId7"/><Relationship Type="http://schemas.openxmlformats.org/officeDocument/2006/relationships/hyperlink" Target="https://www.adlittle.com/en/careers" TargetMode="External" Id="rId8"/><Relationship Type="http://schemas.openxmlformats.org/officeDocument/2006/relationships/hyperlink" Target="http://reddal.com/join-reddal/ &#46608;&#45716; &#49800;&#54140;&#47336;&#53412;" TargetMode="External" Id="rId9"/><Relationship Type="http://schemas.openxmlformats.org/officeDocument/2006/relationships/hyperlink" Target="https://www.superookie.com/jobs?keyword=%EB%A0%88%EB%8B%AC" TargetMode="External" Id="rId10"/><Relationship Type="http://schemas.openxmlformats.org/officeDocument/2006/relationships/hyperlink" Target="https://www.superookie.com/jobs?keyword=EY%ED%95%9C%EC%98%81" TargetMode="External" Id="rId11"/><Relationship Type="http://schemas.openxmlformats.org/officeDocument/2006/relationships/hyperlink" Target="https://www.peoplenjob.com/" TargetMode="External" Id="rId12"/><Relationship Type="http://schemas.openxmlformats.org/officeDocument/2006/relationships/hyperlink" Target="https://www.samsungcareers.com/" TargetMode="External" Id="rId13"/><Relationship Type="http://schemas.openxmlformats.org/officeDocument/2006/relationships/hyperlink" Target="https://www.samsungcareers.com/" TargetMode="External" Id="rId14"/><Relationship Type="http://schemas.openxmlformats.org/officeDocument/2006/relationships/hyperlink" Target="https://talent.hyundai.com/" TargetMode="External" Id="rId15"/><Relationship Type="http://schemas.openxmlformats.org/officeDocument/2006/relationships/hyperlink" Target="https://careers.lg.com/" TargetMode="External" Id="rId16"/><Relationship Type="http://schemas.openxmlformats.org/officeDocument/2006/relationships/hyperlink" Target="https://careers.sktelecom.com/" TargetMode="External" Id="rId17"/><Relationship Type="http://schemas.openxmlformats.org/officeDocument/2006/relationships/hyperlink" Target="https://www.morganstanley.com/people-opportunities/students-graduates" TargetMode="External" Id="rId18"/><Relationship Type="http://schemas.openxmlformats.org/officeDocument/2006/relationships/hyperlink" Target="https://www.jpmorganchase.com/careers" TargetMode="External" Id="rId19"/><Relationship Type="http://schemas.openxmlformats.org/officeDocument/2006/relationships/hyperlink" Target="https://www.goldmansachs.com/careers/students/programs/" TargetMode="External" Id="rId20"/><Relationship Type="http://schemas.openxmlformats.org/officeDocument/2006/relationships/hyperlink" Target="https://jobs.citi.com/search-jobs/Seoul%2C%20South%20Korea/287/4/1835848-1835847/37x56667/126x97806/50/2" TargetMode="External" Id="rId21"/><Relationship Type="http://schemas.openxmlformats.org/officeDocument/2006/relationships/hyperlink" Target="https://jobs.citi.com/search-jobs/Seoul%2C%20South%20Korea/287/4/1835848-1835847/37x56667/126x97806/50/2" TargetMode="External" Id="rId22"/><Relationship Type="http://schemas.openxmlformats.org/officeDocument/2006/relationships/hyperlink" Target="https://www.ubs.com/global/en/careers.html" TargetMode="External" Id="rId23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pple.com/careers/us/students.html" TargetMode="External" Id="rId1"/><Relationship Type="http://schemas.openxmlformats.org/officeDocument/2006/relationships/hyperlink" Target="https://www.apple.com/careers/us/students.html" TargetMode="External" Id="rId2"/><Relationship Type="http://schemas.openxmlformats.org/officeDocument/2006/relationships/hyperlink" Target="https://careers.google.com/students/" TargetMode="External" Id="rId3"/><Relationship Type="http://schemas.openxmlformats.org/officeDocument/2006/relationships/hyperlink" Target="https://careers.google.com/students/" TargetMode="External" Id="rId4"/><Relationship Type="http://schemas.openxmlformats.org/officeDocument/2006/relationships/hyperlink" Target="https://deepmind.google/about/careers/" TargetMode="External" Id="rId5"/><Relationship Type="http://schemas.openxmlformats.org/officeDocument/2006/relationships/hyperlink" Target="https://deepmind.google/about/careers/" TargetMode="External" Id="rId6"/><Relationship Type="http://schemas.openxmlformats.org/officeDocument/2006/relationships/hyperlink" Target="https://www.metacareers.com/" TargetMode="External" Id="rId7"/><Relationship Type="http://schemas.openxmlformats.org/officeDocument/2006/relationships/hyperlink" Target="https://www.metacareers.com/" TargetMode="External" Id="rId8"/><Relationship Type="http://schemas.openxmlformats.org/officeDocument/2006/relationships/hyperlink" Target="https://careers.microsoft.com/students" TargetMode="External" Id="rId9"/><Relationship Type="http://schemas.openxmlformats.org/officeDocument/2006/relationships/hyperlink" Target="https://careers.microsoft.com/students" TargetMode="External" Id="rId10"/><Relationship Type="http://schemas.openxmlformats.org/officeDocument/2006/relationships/hyperlink" Target="https://samsung.wd1.myworkdayjobs.com/Samsung_Careers" TargetMode="External" Id="rId11"/><Relationship Type="http://schemas.openxmlformats.org/officeDocument/2006/relationships/hyperlink" Target="https://samsung.wd1.myworkdayjobs.com/Samsung_Careers" TargetMode="External" Id="rId12"/><Relationship Type="http://schemas.openxmlformats.org/officeDocument/2006/relationships/hyperlink" Target="https://www.snap.com/en-US/jobs" TargetMode="External" Id="rId13"/><Relationship Type="http://schemas.openxmlformats.org/officeDocument/2006/relationships/hyperlink" Target="https://www.snap.com/en-US/jobs" TargetMode="External" Id="rId14"/><Relationship Type="http://schemas.openxmlformats.org/officeDocument/2006/relationships/hyperlink" Target="https://careers.playstation.com/" TargetMode="External" Id="rId15"/><Relationship Type="http://schemas.openxmlformats.org/officeDocument/2006/relationships/hyperlink" Target="https://careers.playstation.com/" TargetMode="External" Id="rId1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apple.com/careers/us/students.html" TargetMode="External" Id="rId1"/><Relationship Type="http://schemas.openxmlformats.org/officeDocument/2006/relationships/hyperlink" Target="https://scholar.google.com/scholar?q=Andrew%20C.%20Miller" TargetMode="External" Id="rId2"/><Relationship Type="http://schemas.openxmlformats.org/officeDocument/2006/relationships/hyperlink" Target="https://scholar.google.com/scholar?q=Salar%20Abbaspourazad" TargetMode="External" Id="rId3"/><Relationship Type="http://schemas.openxmlformats.org/officeDocument/2006/relationships/hyperlink" Target="https://scholar.google.com/scholar?q=Anshuman%20Mishra" TargetMode="External" Id="rId4"/><Relationship Type="http://schemas.openxmlformats.org/officeDocument/2006/relationships/hyperlink" Target="https://careers.google.com/students/" TargetMode="External" Id="rId5"/><Relationship Type="http://schemas.openxmlformats.org/officeDocument/2006/relationships/hyperlink" Target="https://scholar.google.com/scholar?q=Kim%20Stachenfeld" TargetMode="External" Id="rId6"/><Relationship Type="http://schemas.openxmlformats.org/officeDocument/2006/relationships/hyperlink" Target="mailto:viren@google.com" TargetMode="External" Id="rId7"/><Relationship Type="http://schemas.openxmlformats.org/officeDocument/2006/relationships/hyperlink" Target="https://scholar.google.com/scholar?q=Matthew%20Botvinick" TargetMode="External" Id="rId8"/><Relationship Type="http://schemas.openxmlformats.org/officeDocument/2006/relationships/hyperlink" Target="https://scholar.google.com/scholar?q=Timothy%20Lillicrap" TargetMode="External" Id="rId9"/><Relationship Type="http://schemas.openxmlformats.org/officeDocument/2006/relationships/hyperlink" Target="https://deepmind.google/about/careers/" TargetMode="External" Id="rId10"/><Relationship Type="http://schemas.openxmlformats.org/officeDocument/2006/relationships/hyperlink" Target="https://scholar.google.com/scholar?q=Timothy%20Lillicrap" TargetMode="External" Id="rId11"/><Relationship Type="http://schemas.openxmlformats.org/officeDocument/2006/relationships/hyperlink" Target="mailto:timothylillicrap@google.com" TargetMode="External" Id="rId12"/><Relationship Type="http://schemas.openxmlformats.org/officeDocument/2006/relationships/hyperlink" Target="https://scholar.google.com/scholar?q=Matthew%20Botvinick" TargetMode="External" Id="rId13"/><Relationship Type="http://schemas.openxmlformats.org/officeDocument/2006/relationships/hyperlink" Target="mailto:stachenfeld@google.com" TargetMode="External" Id="rId14"/><Relationship Type="http://schemas.openxmlformats.org/officeDocument/2006/relationships/hyperlink" Target="https://scholar.google.com/scholar?q=Kim%20Stachenfeld" TargetMode="External" Id="rId15"/><Relationship Type="http://schemas.openxmlformats.org/officeDocument/2006/relationships/hyperlink" Target="mailto:abanino@google.com" TargetMode="External" Id="rId16"/><Relationship Type="http://schemas.openxmlformats.org/officeDocument/2006/relationships/hyperlink" Target="https://www.metacareers.com/" TargetMode="External" Id="rId17"/><Relationship Type="http://schemas.openxmlformats.org/officeDocument/2006/relationships/hyperlink" Target="https://scholar.google.com/scholar?q=Dario%20Farina" TargetMode="External" Id="rId18"/><Relationship Type="http://schemas.openxmlformats.org/officeDocument/2006/relationships/hyperlink" Target="mailto:d.farina@imperial.ac.uk" TargetMode="External" Id="rId19"/><Relationship Type="http://schemas.openxmlformats.org/officeDocument/2006/relationships/hyperlink" Target="https://scholar.google.com/scholar?q=Michael%20J.%20Proulx" TargetMode="External" Id="rId20"/><Relationship Type="http://schemas.openxmlformats.org/officeDocument/2006/relationships/hyperlink" Target="https://scholar.google.com/scholar?q=Konstantinos%20Barmpas" TargetMode="External" Id="rId21"/><Relationship Type="http://schemas.openxmlformats.org/officeDocument/2006/relationships/hyperlink" Target="https://careers.microsoft.com/students" TargetMode="External" Id="rId22"/><Relationship Type="http://schemas.openxmlformats.org/officeDocument/2006/relationships/hyperlink" Target="https://scholar.google.com/scholar?q=Ivan%20Tashev" TargetMode="External" Id="rId23"/><Relationship Type="http://schemas.openxmlformats.org/officeDocument/2006/relationships/hyperlink" Target="mailto:ivantash@microsoft.com" TargetMode="External" Id="rId24"/><Relationship Type="http://schemas.openxmlformats.org/officeDocument/2006/relationships/hyperlink" Target="https://scholar.google.com/scholar?q=Yansen%20Wang" TargetMode="External" Id="rId25"/><Relationship Type="http://schemas.openxmlformats.org/officeDocument/2006/relationships/hyperlink" Target="mailto:dimitra.emmanouilidou@microsoft.com" TargetMode="External" Id="rId26"/><Relationship Type="http://schemas.openxmlformats.org/officeDocument/2006/relationships/hyperlink" Target="https://scholar.google.com/scholar?q=Jeremiah%20Wander" TargetMode="External" Id="rId27"/><Relationship Type="http://schemas.openxmlformats.org/officeDocument/2006/relationships/hyperlink" Target="mailto:awilson@microsoft.com" TargetMode="External" Id="rId28"/><Relationship Type="http://schemas.openxmlformats.org/officeDocument/2006/relationships/hyperlink" Target="https://samsung.wd1.myworkdayjobs.com/Samsung_Careers" TargetMode="External" Id="rId29"/><Relationship Type="http://schemas.openxmlformats.org/officeDocument/2006/relationships/hyperlink" Target="https://scholar.google.com/scholar?q=Young%20D.%20Kwon" TargetMode="External" Id="rId30"/><Relationship Type="http://schemas.openxmlformats.org/officeDocument/2006/relationships/hyperlink" Target="mailto:s.venieris@samsung.com" TargetMode="External" Id="rId31"/><Relationship Type="http://schemas.openxmlformats.org/officeDocument/2006/relationships/hyperlink" Target="https://scholar.google.com/scholar?q=Titouan%20Parcollet" TargetMode="External" Id="rId32"/><Relationship Type="http://schemas.openxmlformats.org/officeDocument/2006/relationships/hyperlink" Target="mailto:young.kwon@samsung.com" TargetMode="External" Id="rId33"/><Relationship Type="http://schemas.openxmlformats.org/officeDocument/2006/relationships/hyperlink" Target="https://scholar.google.com/scholar?q=Minyoung%20Kim" TargetMode="External" Id="rId34"/><Relationship Type="http://schemas.openxmlformats.org/officeDocument/2006/relationships/hyperlink" Target="mailto:g.tzimiropoulos@qmul.ac.uk" TargetMode="External" Id="rId35"/><Relationship Type="http://schemas.openxmlformats.org/officeDocument/2006/relationships/hyperlink" Target="https://www.snap.com/en-US/jobs" TargetMode="External" Id="rId36"/><Relationship Type="http://schemas.openxmlformats.org/officeDocument/2006/relationships/hyperlink" Target="https://scholar.google.com/scholar?q=Tomas%20Jakab" TargetMode="External" Id="rId37"/><Relationship Type="http://schemas.openxmlformats.org/officeDocument/2006/relationships/hyperlink" Target="https://scholar.google.com/scholar?q=Willi%20Menapace" TargetMode="External" Id="rId38"/><Relationship Type="http://schemas.openxmlformats.org/officeDocument/2006/relationships/hyperlink" Target="https://scholar.google.com/scholar?q=Sergey%20Tulyakov" TargetMode="External" Id="rId39"/><Relationship Type="http://schemas.openxmlformats.org/officeDocument/2006/relationships/hyperlink" Target="https://careers.playstation.com/" TargetMode="External" Id="rId40"/><Relationship Type="http://schemas.openxmlformats.org/officeDocument/2006/relationships/hyperlink" Target="https://scholar.google.com/scholar?q=Nabajeet%20Barman" TargetMode="External" Id="rId41"/><Relationship Type="http://schemas.openxmlformats.org/officeDocument/2006/relationships/hyperlink" Target="https://scholar.google.com/scholar?q=Erick%20Flores" TargetMode="External" Id="rId42"/><Relationship Type="http://schemas.openxmlformats.org/officeDocument/2006/relationships/hyperlink" Target="https://scholar.google.com/scholar?q=Ueli%20Gallizzi" TargetMode="External" Id="rId43"/><Relationship Type="http://schemas.openxmlformats.org/officeDocument/2006/relationships/hyperlink" Target="https://www.bios.health/careers" TargetMode="External" Id="rId44"/><Relationship Type="http://schemas.openxmlformats.org/officeDocument/2006/relationships/hyperlink" Target="https://www.linkedin.com/search/results/people/?keywords=Emil%20Hewage" TargetMode="External" Id="rId45"/><Relationship Type="http://schemas.openxmlformats.org/officeDocument/2006/relationships/hyperlink" Target="https://www.linkedin.com/search/results/people/?keywords=Oliver%20Armitage" TargetMode="External" Id="rId46"/><Relationship Type="http://schemas.openxmlformats.org/officeDocument/2006/relationships/hyperlink" Target="https://www.linkedin.com/search/results/people/?keywords=Pascal%20Fortier-Poisson" TargetMode="External" Id="rId47"/><Relationship Type="http://schemas.openxmlformats.org/officeDocument/2006/relationships/hyperlink" Target="https://comind.jobs.personio.com/" TargetMode="External" Id="rId48"/><Relationship Type="http://schemas.openxmlformats.org/officeDocument/2006/relationships/hyperlink" Target="https://www.linkedin.com/search/results/people/?keywords=Dr.%20Rob%20Cooper" TargetMode="External" Id="rId49"/><Relationship Type="http://schemas.openxmlformats.org/officeDocument/2006/relationships/hyperlink" Target="https://www.linkedin.com/search/results/people/?keywords=James%20Dacombe" TargetMode="External" Id="rId50"/><Relationship Type="http://schemas.openxmlformats.org/officeDocument/2006/relationships/hyperlink" Target="https://www.linkedin.com/search/results/people/?keywords=Simon%20Morling" TargetMode="External" Id="rId51"/><Relationship Type="http://schemas.openxmlformats.org/officeDocument/2006/relationships/hyperlink" Target="mailto:info@cogitat.io" TargetMode="External" Id="rId52"/><Relationship Type="http://schemas.openxmlformats.org/officeDocument/2006/relationships/hyperlink" Target="https://www.linkedin.com/search/results/people/?keywords=Dr.%20Dimitrios%20Adamos" TargetMode="External" Id="rId53"/><Relationship Type="http://schemas.openxmlformats.org/officeDocument/2006/relationships/hyperlink" Target="https://www.linkedin.com/search/results/people/?keywords=Dr.%20Irene%20Kotsia" TargetMode="External" Id="rId54"/><Relationship Type="http://schemas.openxmlformats.org/officeDocument/2006/relationships/hyperlink" Target="https://www.linkedin.com/search/results/people/?keywords=Dr.%20Yannis%20Panagakis" TargetMode="External" Id="rId55"/><Relationship Type="http://schemas.openxmlformats.org/officeDocument/2006/relationships/hyperlink" Target="http://connectome.health/" TargetMode="External" Id="rId56"/><Relationship Type="http://schemas.openxmlformats.org/officeDocument/2006/relationships/hyperlink" Target="https://www.linkedin.com/search/results/people/?keywords=Dr.%20Rufus%20Mitchell-Heggs" TargetMode="External" Id="rId57"/><Relationship Type="http://schemas.openxmlformats.org/officeDocument/2006/relationships/hyperlink" Target="https://www.linkedin.com/search/results/people/?keywords=Lucas%20Scherdel" TargetMode="External" Id="rId58"/><Relationship Type="http://schemas.openxmlformats.org/officeDocument/2006/relationships/hyperlink" Target="https://www.linkedin.com/search/results/people/?keywords=Daniel%20Tamkin" TargetMode="External" Id="rId59"/><Relationship Type="http://schemas.openxmlformats.org/officeDocument/2006/relationships/hyperlink" Target="http://animorph.coop/" TargetMode="External" Id="rId60"/><Relationship Type="http://schemas.openxmlformats.org/officeDocument/2006/relationships/hyperlink" Target="https://www.linkedin.com/search/results/people/?keywords=Szczepan%20Orlins" TargetMode="External" Id="rId61"/><Relationship Type="http://schemas.openxmlformats.org/officeDocument/2006/relationships/hyperlink" Target="https://www.linkedin.com/search/results/people/?keywords=Professor%20Julia%20Simner" TargetMode="External" Id="rId62"/><Relationship Type="http://schemas.openxmlformats.org/officeDocument/2006/relationships/hyperlink" Target="https://www.linkedin.com/search/results/people/?keywords=Jon%20Rowe" TargetMode="External" Id="rId63"/><Relationship Type="http://schemas.openxmlformats.org/officeDocument/2006/relationships/hyperlink" Target="mailto:info@cumulusneuro.com" TargetMode="External" Id="rId64"/><Relationship Type="http://schemas.openxmlformats.org/officeDocument/2006/relationships/hyperlink" Target="https://www.linkedin.com/search/results/people/?keywords=Dr.%20Brian%20Murphy" TargetMode="External" Id="rId65"/><Relationship Type="http://schemas.openxmlformats.org/officeDocument/2006/relationships/hyperlink" Target="https://www.linkedin.com/search/results/people/?keywords=Hugh%20Nolan" TargetMode="External" Id="rId66"/><Relationship Type="http://schemas.openxmlformats.org/officeDocument/2006/relationships/hyperlink" Target="https://www.linkedin.com/search/results/people/?keywords=Dr.%20George%20Stothart" TargetMode="External" Id="rId67"/><Relationship Type="http://schemas.openxmlformats.org/officeDocument/2006/relationships/hyperlink" Target="http://emteqlabs.com/" TargetMode="External" Id="rId68"/><Relationship Type="http://schemas.openxmlformats.org/officeDocument/2006/relationships/hyperlink" Target="https://www.linkedin.com/search/results/people/?keywords=Dr.%20Charles%20Nduka" TargetMode="External" Id="rId69"/><Relationship Type="http://schemas.openxmlformats.org/officeDocument/2006/relationships/hyperlink" Target="https://www.linkedin.com/search/results/people/?keywords=Dr.%20Hristijan%20Gjoreski" TargetMode="External" Id="rId70"/><Relationship Type="http://schemas.openxmlformats.org/officeDocument/2006/relationships/hyperlink" Target="https://www.linkedin.com/search/results/people/?keywords=Dr.%20Ifi%20Mavridou" TargetMode="External" Id="rId71"/><Relationship Type="http://schemas.openxmlformats.org/officeDocument/2006/relationships/hyperlink" Target="mailto:info@myndplay.com" TargetMode="External" Id="rId72"/><Relationship Type="http://schemas.openxmlformats.org/officeDocument/2006/relationships/hyperlink" Target="https://www.linkedin.com/search/results/people/?keywords=Tre%20Azam" TargetMode="External" Id="rId73"/><Relationship Type="http://schemas.openxmlformats.org/officeDocument/2006/relationships/hyperlink" Target="https://www.linkedin.com/search/results/people/?keywords=Dr.%20Peter%20Collett" TargetMode="External" Id="rId74"/><Relationship Type="http://schemas.openxmlformats.org/officeDocument/2006/relationships/hyperlink" Target="https://www.linkedin.com/search/results/people/?keywords=Dr.%20Polina%20Zioga" TargetMode="External" Id="rId75"/><Relationship Type="http://schemas.openxmlformats.org/officeDocument/2006/relationships/hyperlink" Target="https://neurable.com/careers" TargetMode="External" Id="rId76"/><Relationship Type="http://schemas.openxmlformats.org/officeDocument/2006/relationships/hyperlink" Target="https://www.linkedin.com/search/results/people/?keywords=David%20Stanley" TargetMode="External" Id="rId77"/><Relationship Type="http://schemas.openxmlformats.org/officeDocument/2006/relationships/hyperlink" Target="https://www.linkedin.com/search/results/people/?keywords=Alicia%20Howell%20Munson" TargetMode="External" Id="rId78"/><Relationship Type="http://schemas.openxmlformats.org/officeDocument/2006/relationships/hyperlink" Target="https://www.linkedin.com/search/results/people/?keywords=Dr.%20Ramses%20Alcaide" TargetMode="External" Id="rId79"/><Relationship Type="http://schemas.openxmlformats.org/officeDocument/2006/relationships/hyperlink" Target="https://openbci.com/about" TargetMode="External" Id="rId80"/><Relationship Type="http://schemas.openxmlformats.org/officeDocument/2006/relationships/hyperlink" Target="https://www.linkedin.com/search/results/people/?keywords=Conor%20Russomanno" TargetMode="External" Id="rId81"/><Relationship Type="http://schemas.openxmlformats.org/officeDocument/2006/relationships/hyperlink" Target="https://www.linkedin.com/search/results/people/?keywords=Zoe%20Steine-Hanson" TargetMode="External" Id="rId82"/><Relationship Type="http://schemas.openxmlformats.org/officeDocument/2006/relationships/hyperlink" Target="https://www.linkedin.com/search/results/people/?keywords=Musa%20Mahmood" TargetMode="External" Id="rId83"/></Relationships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B2:G2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8" customWidth="1" min="3" max="3"/>
    <col width="50" customWidth="1" min="4" max="4"/>
    <col width="16" customWidth="1" min="5" max="5"/>
    <col width="30" customWidth="1" min="6" max="6"/>
    <col width="34" customWidth="1" min="7" max="7"/>
  </cols>
  <sheetData>
    <row r="2" ht="32" customHeight="1">
      <c r="B2" s="1" t="inlineStr">
        <is>
          <t>2027 GLOBAL INTERNSHIP MASTER SSOT TRACKER (CEO CONTROL TOWER)</t>
        </is>
      </c>
    </row>
    <row r="3" ht="20" customHeight="1">
      <c r="B3" s="2" t="inlineStr">
        <is>
          <t>Candidate: Kyubin Yun (UCL BSc Psychology and Language Sciences, Class of 2028, Penultimate Year) | Zero Auto-Submit | SSOT 8-Tab Unified Architecture</t>
        </is>
      </c>
    </row>
    <row r="5" ht="24" customHeight="1">
      <c r="B5" s="3" t="inlineStr">
        <is>
          <t xml:space="preserve">  📊 EXECUTIVE PORTFOLIO SUMMARY (8-TAB STREAMLINED ARCHITECTURE)</t>
        </is>
      </c>
    </row>
    <row r="6" ht="20" customHeight="1">
      <c r="B6" s="4" t="inlineStr">
        <is>
          <t>UK 2027 TECH &amp; FINANCE</t>
        </is>
      </c>
      <c r="D6" s="4" t="inlineStr">
        <is>
          <t>KOREA HIGH-IMPACT</t>
        </is>
      </c>
      <c r="E6" s="4" t="inlineStr">
        <is>
          <t>GLOBAL BCI &amp; NEUROTECH</t>
        </is>
      </c>
      <c r="F6" s="4" t="inlineStr">
        <is>
          <t>SYSTEM GOVERNANCE</t>
        </is>
      </c>
    </row>
    <row r="7" ht="20" customHeight="1">
      <c r="B7" s="5" t="inlineStr">
        <is>
          <t>91 Curated Roles</t>
        </is>
      </c>
      <c r="D7" s="5" t="inlineStr">
        <is>
          <t>63 Verified Roles</t>
        </is>
      </c>
      <c r="E7" s="5" t="inlineStr">
        <is>
          <t>28 Firms / 84 Contacts</t>
        </is>
      </c>
      <c r="F7" s="5" t="inlineStr">
        <is>
          <t>8-TAB SSOT / 100% AUDIT</t>
        </is>
      </c>
    </row>
    <row r="8" ht="20" customHeight="1">
      <c r="B8" s="6" t="inlineStr">
        <is>
          <t>Palantir (L1/L2 19선), 72 High-Value Roles (AI/ML, Data Science, Tech Consulting &amp; Startups)</t>
        </is>
      </c>
      <c r="D8" s="6" t="inlineStr">
        <is>
          <t>KAIST BCI, Daangn, Toss, Naver, Kakao, Samsung, Bain/McK</t>
        </is>
      </c>
      <c r="E8" s="6" t="inlineStr">
        <is>
          <t>Apple, Google, Meta, Neuralink, Synchron</t>
        </is>
      </c>
      <c r="F8" s="6" t="inlineStr">
        <is>
          <t>Zero Auto-Submit &amp; Visible Whale Browser</t>
        </is>
      </c>
    </row>
    <row r="10" ht="24" customHeight="1">
      <c r="B10" s="3" t="inlineStr">
        <is>
          <t xml:space="preserve">  🧭 MASTER 8-TAB DIRECTORY &amp; INSTANT NAVIGATION (클릭 시 해당 시트로 직결 이동)</t>
        </is>
      </c>
    </row>
    <row r="11" ht="26" customHeight="1">
      <c r="B11" s="7" t="inlineStr">
        <is>
          <t>시트 명칭 (Sheet Name)</t>
        </is>
      </c>
      <c r="C11" s="7" t="inlineStr">
        <is>
          <t>트랙 분류 (Category)</t>
        </is>
      </c>
      <c r="D11" s="7" t="inlineStr">
        <is>
          <t>세부 내용 및 범위 (Scope)</t>
        </is>
      </c>
      <c r="E11" s="7" t="inlineStr">
        <is>
          <t>데이터 규모</t>
        </is>
      </c>
      <c r="F11" s="7" t="inlineStr">
        <is>
          <t>시트 직결 링크 (Direct Jump)</t>
        </is>
      </c>
      <c r="G11" s="7" t="inlineStr">
        <is>
          <t>특이사항 및 제약</t>
        </is>
      </c>
    </row>
    <row r="12" ht="20" customHeight="1">
      <c r="B12" s="8" t="inlineStr">
        <is>
          <t>1.UK_Top_Targets</t>
        </is>
      </c>
      <c r="C12" s="9" t="inlineStr">
        <is>
          <t>UK 2027 Summer Tech &amp; Finance</t>
        </is>
      </c>
      <c r="D12" s="9" t="inlineStr">
        <is>
          <t>영국 L1/L2 최우선 타깃 엄선 19선 (Palantir 등)</t>
        </is>
      </c>
      <c r="E12" s="10" t="inlineStr">
        <is>
          <t>19개 타깃</t>
        </is>
      </c>
      <c r="F12" s="11">
        <f>HYPERLINK("#'1.UK_Top_Targets'!A1", "➡️ 1.UK_Top_Targets 바로가기")</f>
        <v/>
      </c>
      <c r="G12" s="9" t="inlineStr">
        <is>
          <t>공식포털 단독발굴 및 L1 우선순위 (마감 공고 정제)</t>
        </is>
      </c>
    </row>
    <row r="13" ht="20" customHeight="1">
      <c r="B13" s="8" t="inlineStr">
        <is>
          <t>2.UK_Tech_Quant_Finance</t>
        </is>
      </c>
      <c r="C13" s="9" t="inlineStr">
        <is>
          <t>UK 2027 Summer Tech &amp; Finance</t>
        </is>
      </c>
      <c r="D13" s="9" t="inlineStr">
        <is>
          <t>영국 AI/ML, Data Science, Tech Consulting &amp; Startups 엄선 프로그램</t>
        </is>
      </c>
      <c r="E13" s="10" t="inlineStr">
        <is>
          <t>72개 프로그램</t>
        </is>
      </c>
      <c r="F13" s="11">
        <f>HYPERLINK("#'2.UK_Tech_Quant_Finance'!A1", "➡️ 2.UK_Tech_Quant_Finance 바로가기")</f>
        <v/>
      </c>
      <c r="G13" s="9" t="inlineStr">
        <is>
          <t>SWE/Quant/노이즈 제거 후 AI/ML, Data Science, Tech Consulting/Startup 72선 엄선</t>
        </is>
      </c>
    </row>
    <row r="14" ht="20" customHeight="1">
      <c r="B14" s="8" t="inlineStr">
        <is>
          <t>3.KR_타임라인_우선순위</t>
        </is>
      </c>
      <c r="C14" s="9" t="inlineStr">
        <is>
          <t>Korea Career 2026-2027</t>
        </is>
      </c>
      <c r="D14" s="9" t="inlineStr">
        <is>
          <t>국내 63대 기회 전수 통합 일정 &amp; 타임라인 및 우선순위</t>
        </is>
      </c>
      <c r="E14" s="10" t="inlineStr">
        <is>
          <t>63개 기회</t>
        </is>
      </c>
      <c r="F14" s="11">
        <f>HYPERLINK("#'3.KR_타임라인_우선순위'!A1", "➡️ 3.KR_타임라인_우선순위 바로가기")</f>
        <v/>
      </c>
      <c r="G14" s="9" t="inlineStr">
        <is>
          <t>자소설닷컴/공식포털 교차검증 및 다가오는 순 정렬</t>
        </is>
      </c>
    </row>
    <row r="15" ht="20" customHeight="1">
      <c r="B15" s="8" t="inlineStr">
        <is>
          <t>4.KR_Tech_BCI</t>
        </is>
      </c>
      <c r="C15" s="9" t="inlineStr">
        <is>
          <t>Korea Tech &amp; BCI Labs</t>
        </is>
      </c>
      <c r="D15" s="9" t="inlineStr">
        <is>
          <t>DA/DS/Product, AI Agent/LLM, EEG/BCI 연구실 (토스·네이버·카카오 등)</t>
        </is>
      </c>
      <c r="E15" s="10" t="inlineStr">
        <is>
          <t>41개 기회</t>
        </is>
      </c>
      <c r="F15" s="11">
        <f>HYPERLINK("#'4.KR_Tech_BCI'!A1", "➡️ 4.KR_Tech_BCI 바로가기")</f>
        <v/>
      </c>
      <c r="G15" s="9" t="inlineStr">
        <is>
          <t>3개 테크 섹션 통합 편성 (DA 19 / AI 11 / BCI 11)</t>
        </is>
      </c>
    </row>
    <row r="16" ht="20" customHeight="1">
      <c r="B16" s="8" t="inlineStr">
        <is>
          <t>5.KR_전략_대기업_금융</t>
        </is>
      </c>
      <c r="C16" s="9" t="inlineStr">
        <is>
          <t>Korea Strategy, Conglomerate, Finance</t>
        </is>
      </c>
      <c r="D16" s="9" t="inlineStr">
        <is>
          <t>전략컨설팅 RA, 대기업 해외대 인턴(삼성전자), 외국계 IB</t>
        </is>
      </c>
      <c r="E16" s="10" t="inlineStr">
        <is>
          <t>22개 기회</t>
        </is>
      </c>
      <c r="F16" s="11">
        <f>HYPERLINK("#'5.KR_전략_대기업_금융'!A1", "➡️ 5.KR_전략_대기업_금융 바로가기")</f>
        <v/>
      </c>
      <c r="G16" s="9" t="inlineStr">
        <is>
          <t>3개 비즈니스 섹션 통합 편성 (전략 11 / 대기업 5 / IB 6)</t>
        </is>
      </c>
    </row>
    <row r="17" ht="20" customHeight="1">
      <c r="B17" s="8" t="inlineStr">
        <is>
          <t>6.Global_BCI_Map</t>
        </is>
      </c>
      <c r="C17" s="9" t="inlineStr">
        <is>
          <t>Global BCI / Neurotech</t>
        </is>
      </c>
      <c r="D17" s="9" t="inlineStr">
        <is>
          <t>글로벌 BCI &amp; 뉴로테크 28개사 우선순위 맵</t>
        </is>
      </c>
      <c r="E17" s="10" t="inlineStr">
        <is>
          <t>28개사</t>
        </is>
      </c>
      <c r="F17" s="11">
        <f>HYPERLINK("#'6.Global_BCI_Map'!A1", "➡️ 6.Global_BCI_Map 바로가기")</f>
        <v/>
      </c>
      <c r="G17" s="9" t="inlineStr">
        <is>
          <t>7번 시트 직결 링크 탑재</t>
        </is>
      </c>
    </row>
    <row r="18" ht="20" customHeight="1">
      <c r="B18" s="8" t="inlineStr">
        <is>
          <t>7.BCI_Research_DB</t>
        </is>
      </c>
      <c r="C18" s="9" t="inlineStr">
        <is>
          <t>Global BCI / Neurotech</t>
        </is>
      </c>
      <c r="D18" s="9" t="inlineStr">
        <is>
          <t>기업별 연구 적합도, PI/연구원 핵심 컨택 및 전략 훅</t>
        </is>
      </c>
      <c r="E18" s="10" t="inlineStr">
        <is>
          <t>84명 (3명/사)</t>
        </is>
      </c>
      <c r="F18" s="11">
        <f>HYPERLINK("#'7.BCI_Research_DB'!A1", "➡️ 7.BCI_Research_DB 바로가기")</f>
        <v/>
      </c>
      <c r="G18" s="9" t="inlineStr">
        <is>
          <t>텔레메트리 G~K 은닉 준수</t>
        </is>
      </c>
    </row>
    <row r="20" ht="24" customHeight="1">
      <c r="B20" s="3" t="inlineStr">
        <is>
          <t xml:space="preserve">  🛡️ CANDIDATE GROUND TRUTH BASELINE &amp; ZERO AUTO-SUBMIT DIRECTIVES</t>
        </is>
      </c>
    </row>
    <row r="21" ht="20" customHeight="1">
      <c r="B21" s="12" t="inlineStr">
        <is>
          <t>Candidate Name</t>
        </is>
      </c>
      <c r="C21" s="9" t="inlineStr">
        <is>
          <t>Kyubin Yun (윤규빈)</t>
        </is>
      </c>
      <c r="D21" s="12" t="inlineStr">
        <is>
          <t>UCL Official Academic ID</t>
        </is>
      </c>
      <c r="E21" s="9" t="inlineStr">
        <is>
          <t>zcjtyun@ucl.ac.uk</t>
        </is>
      </c>
      <c r="F21" s="89" t="n"/>
      <c r="G21" s="90" t="n"/>
    </row>
    <row r="22" ht="20" customHeight="1">
      <c r="B22" s="12" t="inlineStr">
        <is>
          <t>UK Mobile Phone</t>
        </is>
      </c>
      <c r="C22" s="9" t="inlineStr">
        <is>
          <t>+44 7787 442404</t>
        </is>
      </c>
      <c r="D22" s="12" t="inlineStr">
        <is>
          <t>UK Local Address</t>
        </is>
      </c>
      <c r="E22" s="9" t="inlineStr">
        <is>
          <t>40 Merchant St, Brent Cross, Suite 638, London, NW2 8BB</t>
        </is>
      </c>
      <c r="F22" s="89" t="n"/>
      <c r="G22" s="90" t="n"/>
    </row>
    <row r="23" ht="20" customHeight="1">
      <c r="B23" s="12" t="inlineStr">
        <is>
          <t>University &amp; Degree</t>
        </is>
      </c>
      <c r="C23" s="9" t="inlineStr">
        <is>
          <t>UCL / BSc Psychology &amp; Language Sciences</t>
        </is>
      </c>
      <c r="D23" s="12" t="inlineStr">
        <is>
          <t>Graduation Date</t>
        </is>
      </c>
      <c r="E23" s="9" t="inlineStr">
        <is>
          <t>June 2028 (Penultimate Year Class of 2028)</t>
        </is>
      </c>
      <c r="F23" s="89" t="n"/>
      <c r="G23" s="90" t="n"/>
    </row>
    <row r="24" ht="20" customHeight="1">
      <c r="B24" s="12" t="inlineStr">
        <is>
          <t>UK Work Authorization</t>
        </is>
      </c>
      <c r="C24" s="9" t="inlineStr">
        <is>
          <t>Yes (Student Route Visa - Full-time summer permitted)</t>
        </is>
      </c>
      <c r="D24" s="12" t="inlineStr">
        <is>
          <t>Graduate Route 2-Yr</t>
        </is>
      </c>
      <c r="E24" s="9" t="inlineStr">
        <is>
          <t>Yes (2-Year Unconditional Full Working Rights post-grad)</t>
        </is>
      </c>
      <c r="F24" s="89" t="n"/>
      <c r="G24" s="90" t="n"/>
    </row>
    <row r="25" ht="20" customHeight="1">
      <c r="B25" s="12" t="inlineStr">
        <is>
          <t>Standard Password</t>
        </is>
      </c>
      <c r="C25" s="9" t="inlineStr">
        <is>
          <t>Jeff0825!! (General Portals)</t>
        </is>
      </c>
      <c r="D25" s="12" t="inlineStr">
        <is>
          <t>Workday Password</t>
        </is>
      </c>
      <c r="E25" s="9" t="inlineStr">
        <is>
          <t>Jeff0825!!!! (Workday Mandatory 12+ chars)</t>
        </is>
      </c>
      <c r="F25" s="89" t="n"/>
      <c r="G25" s="90" t="n"/>
    </row>
    <row r="26" ht="20" customHeight="1">
      <c r="B26" s="12" t="inlineStr">
        <is>
          <t>Safety Directive 1</t>
        </is>
      </c>
      <c r="C26" s="9" t="inlineStr">
        <is>
          <t>Zero Auto-Submit (절대 최종 제출 클릭 금지)</t>
        </is>
      </c>
      <c r="D26" s="12" t="inlineStr">
        <is>
          <t>Safety Directive 2</t>
        </is>
      </c>
      <c r="E26" s="9" t="inlineStr">
        <is>
          <t>Visible Whale Browser (백그라운드 가상 브라우저 전면 금지)</t>
        </is>
      </c>
      <c r="F26" s="89" t="n"/>
      <c r="G26" s="90" t="n"/>
    </row>
  </sheetData>
  <autoFilter ref="B11:G18"/>
  <mergeCells count="17">
    <mergeCell ref="B3:G3"/>
    <mergeCell ref="B2:G2"/>
    <mergeCell ref="B6:C6"/>
    <mergeCell ref="B20:G20"/>
    <mergeCell ref="B10:G10"/>
    <mergeCell ref="E24:G24"/>
    <mergeCell ref="E22:G22"/>
    <mergeCell ref="B7:C7"/>
    <mergeCell ref="B5:G5"/>
    <mergeCell ref="E23:G23"/>
    <mergeCell ref="E26:G26"/>
    <mergeCell ref="F6:G6"/>
    <mergeCell ref="E21:G21"/>
    <mergeCell ref="B8:C8"/>
    <mergeCell ref="E25:G25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L2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62" customWidth="1" min="4" max="4"/>
    <col width="28" customWidth="1" min="5" max="5"/>
    <col width="32" customWidth="1" min="6" max="6"/>
    <col width="18" customWidth="1" min="7" max="7"/>
    <col width="42" customWidth="1" min="8" max="8"/>
    <col width="28" customWidth="1" min="9" max="9"/>
    <col width="18" customWidth="1" min="10" max="10"/>
    <col width="22" customWidth="1" min="11" max="11"/>
    <col width="75" customWidth="1" min="12" max="12"/>
  </cols>
  <sheetData>
    <row r="1" ht="28" customHeight="1">
      <c r="A1" s="13" t="inlineStr">
        <is>
          <t>No</t>
        </is>
      </c>
      <c r="B1" s="13" t="inlineStr">
        <is>
          <t>Tier</t>
        </is>
      </c>
      <c r="C1" s="14" t="inlineStr">
        <is>
          <t>Company Name (기업명)</t>
        </is>
      </c>
      <c r="D1" s="13" t="inlineStr">
        <is>
          <t>Position Title</t>
        </is>
      </c>
      <c r="E1" s="13" t="inlineStr">
        <is>
          <t>Source Type</t>
        </is>
      </c>
      <c r="F1" s="13" t="inlineStr">
        <is>
          <t>Category</t>
        </is>
      </c>
      <c r="G1" s="13" t="inlineStr">
        <is>
          <t>Location</t>
        </is>
      </c>
      <c r="H1" s="13" t="inlineStr">
        <is>
          <t>Eligibility &amp; Visa</t>
        </is>
      </c>
      <c r="I1" s="13" t="inlineStr">
        <is>
          <t>Closing / Cycle</t>
        </is>
      </c>
      <c r="J1" s="13" t="inlineStr">
        <is>
          <t>Status</t>
        </is>
      </c>
      <c r="K1" s="13" t="inlineStr">
        <is>
          <t>Application Link</t>
        </is>
      </c>
      <c r="L1" s="13" t="inlineStr">
        <is>
          <t>Strategic Fit &amp; Profile Rationale</t>
        </is>
      </c>
    </row>
    <row r="2" ht="22" customHeight="1">
      <c r="A2" s="15" t="n">
        <v>1</v>
      </c>
      <c r="B2" s="15" t="inlineStr">
        <is>
          <t>L1 Tier</t>
        </is>
      </c>
      <c r="C2" s="16" t="inlineStr">
        <is>
          <t>Palantir</t>
        </is>
      </c>
      <c r="D2" s="17" t="inlineStr">
        <is>
          <t>Product Designer, Internship</t>
        </is>
      </c>
      <c r="E2" s="18" t="inlineStr">
        <is>
          <t>기업 공식포털 단독발굴
(Trackr 완전누락)</t>
        </is>
      </c>
      <c r="F2" s="19" t="inlineStr">
        <is>
          <t>Product Design / HCI</t>
        </is>
      </c>
      <c r="G2" s="20" t="inlineStr">
        <is>
          <t>London, UK</t>
        </is>
      </c>
      <c r="H2" s="20" t="inlineStr">
        <is>
          <t>Penultimate (2028 졸) / 학생비자 가능</t>
        </is>
      </c>
      <c r="I2" s="20" t="inlineStr">
        <is>
          <t>Rolling (조기마감 주의)</t>
        </is>
      </c>
      <c r="J2" s="19" t="inlineStr">
        <is>
          <t>To-Apply (L1)</t>
        </is>
      </c>
      <c r="K2" s="21" t="inlineStr">
        <is>
          <t>바로 지원하기 ↗</t>
        </is>
      </c>
      <c r="L2" s="17" t="inlineStr">
        <is>
          <t>[L1 최우선] 인간-컴퓨터 상호작용(HCI) 및 인지 모델링 기반 UI/UX 설계. UCL 심리학/인지과학 전공 배경의 독보적 경쟁력 발휘 최적 포지션.</t>
        </is>
      </c>
    </row>
    <row r="3" ht="22" customHeight="1">
      <c r="A3" s="15" t="n">
        <v>2</v>
      </c>
      <c r="B3" s="15" t="inlineStr">
        <is>
          <t>L1 Tier</t>
        </is>
      </c>
      <c r="C3" s="16" t="inlineStr">
        <is>
          <t>Palantir</t>
        </is>
      </c>
      <c r="D3" s="17" t="inlineStr">
        <is>
          <t>Forward Deployed Software Engineer, Intern (Commercial)</t>
        </is>
      </c>
      <c r="E3" s="18" t="inlineStr">
        <is>
          <t>기업 공식포털 단독발굴
(Trackr 완전누락)</t>
        </is>
      </c>
      <c r="F3" s="19" t="inlineStr">
        <is>
          <t>AI / Data Systems</t>
        </is>
      </c>
      <c r="G3" s="20" t="inlineStr">
        <is>
          <t>London, UK</t>
        </is>
      </c>
      <c r="H3" s="20" t="inlineStr">
        <is>
          <t>Penultimate (2028 졸) / 학생비자 가능</t>
        </is>
      </c>
      <c r="I3" s="20" t="inlineStr">
        <is>
          <t>Rolling (조기마감 주의)</t>
        </is>
      </c>
      <c r="J3" s="19" t="inlineStr">
        <is>
          <t>To-Apply (L1)</t>
        </is>
      </c>
      <c r="K3" s="21" t="inlineStr">
        <is>
          <t>바로 지원하기 ↗</t>
        </is>
      </c>
      <c r="L3" s="17" t="inlineStr">
        <is>
          <t>[L1 최우선] 엔지니어링 역량과 클라이언트 비즈니스 문제해결을 결합한 팰런티어 간판 직무. 엔터프라이즈 AI/Foundry 파이프라인 구축.</t>
        </is>
      </c>
    </row>
    <row r="4" ht="22" customHeight="1">
      <c r="A4" s="15" t="n">
        <v>3</v>
      </c>
      <c r="B4" s="15" t="inlineStr">
        <is>
          <t>L1 Tier</t>
        </is>
      </c>
      <c r="C4" s="16" t="inlineStr">
        <is>
          <t>Tower Research Capital</t>
        </is>
      </c>
      <c r="D4" s="17" t="inlineStr">
        <is>
          <t>Quantitative Trader/Researcher Summer 2027 (2028 Graduates)</t>
        </is>
      </c>
      <c r="E4" s="18" t="inlineStr">
        <is>
          <t>기업 공식포털 단독발굴
(Trackr 누락)</t>
        </is>
      </c>
      <c r="F4" s="19" t="inlineStr">
        <is>
          <t>Quant Trading / Research</t>
        </is>
      </c>
      <c r="G4" s="20" t="inlineStr">
        <is>
          <t>London, UK</t>
        </is>
      </c>
      <c r="H4" s="20" t="inlineStr">
        <is>
          <t>2028년 졸업생 전용 (Penultimate)</t>
        </is>
      </c>
      <c r="I4" s="20" t="inlineStr">
        <is>
          <t>Rolling</t>
        </is>
      </c>
      <c r="J4" s="19" t="inlineStr">
        <is>
          <t>To-Apply (L1)</t>
        </is>
      </c>
      <c r="K4" s="21" t="inlineStr">
        <is>
          <t>바로 지원하기 ↗</t>
        </is>
      </c>
      <c r="L4" s="17" t="inlineStr">
        <is>
          <t>[L1 최우선] 2028년 6월 졸업 예정자를 명시적으로 타깃한 맞춤형 공고. 서류 필터링 및 전공 적합성 통과율 극대화.</t>
        </is>
      </c>
    </row>
    <row r="5" ht="22" customHeight="1">
      <c r="A5" s="15" t="n">
        <v>4</v>
      </c>
      <c r="B5" s="15" t="inlineStr">
        <is>
          <t>L1 Tier</t>
        </is>
      </c>
      <c r="C5" s="16" t="inlineStr">
        <is>
          <t>Jump Trading</t>
        </is>
      </c>
      <c r="D5" s="17" t="inlineStr">
        <is>
          <t>Campus ML Research Engineer (Intern)</t>
        </is>
      </c>
      <c r="E5" s="18" t="inlineStr">
        <is>
          <t>기업 공식포털 단독발굴
(Trackr 완전누락)</t>
        </is>
      </c>
      <c r="F5" s="19" t="inlineStr">
        <is>
          <t>AI / ML Research</t>
        </is>
      </c>
      <c r="G5" s="20" t="inlineStr">
        <is>
          <t>London, UK</t>
        </is>
      </c>
      <c r="H5" s="20" t="inlineStr">
        <is>
          <t>Penultimate (2028 졸) / 학생비자 가능</t>
        </is>
      </c>
      <c r="I5" s="20" t="inlineStr">
        <is>
          <t>Rolling (조기마감 주의)</t>
        </is>
      </c>
      <c r="J5" s="19" t="inlineStr">
        <is>
          <t>To-Apply (L1)</t>
        </is>
      </c>
      <c r="K5" s="21" t="inlineStr">
        <is>
          <t>바로 지원하기 ↗</t>
        </is>
      </c>
      <c r="L5" s="17" t="inlineStr">
        <is>
          <t>[L1 최우선] 글로벌 최상위 퀀트 펌의 딥러닝/ML 시계열 예측 모델 R&amp;D. Python 및 정량 모델링 역량 중심 평가.</t>
        </is>
      </c>
    </row>
    <row r="6" ht="22" customHeight="1">
      <c r="A6" s="15" t="n">
        <v>5</v>
      </c>
      <c r="B6" s="15" t="inlineStr">
        <is>
          <t>L1 Tier</t>
        </is>
      </c>
      <c r="C6" s="16" t="inlineStr">
        <is>
          <t>Jump Trading</t>
        </is>
      </c>
      <c r="D6" s="17" t="inlineStr">
        <is>
          <t>Campus Quantitative Researcher (Intern)</t>
        </is>
      </c>
      <c r="E6" s="18" t="inlineStr">
        <is>
          <t>기업 공식포털 단독발굴
(Trackr 완전누락)</t>
        </is>
      </c>
      <c r="F6" s="19" t="inlineStr">
        <is>
          <t>Quant Research</t>
        </is>
      </c>
      <c r="G6" s="20" t="inlineStr">
        <is>
          <t>London, UK</t>
        </is>
      </c>
      <c r="H6" s="20" t="inlineStr">
        <is>
          <t>Penultimate (2028 졸) / 학생비자 가능</t>
        </is>
      </c>
      <c r="I6" s="20" t="inlineStr">
        <is>
          <t>Rolling (조기마감 주의)</t>
        </is>
      </c>
      <c r="J6" s="19" t="inlineStr">
        <is>
          <t>To-Apply (L1)</t>
        </is>
      </c>
      <c r="K6" s="21" t="inlineStr">
        <is>
          <t>바로 지원하기 ↗</t>
        </is>
      </c>
      <c r="L6" s="17" t="inlineStr">
        <is>
          <t>[L1 최우선] 정량 통계 분석, 시장 이상현상(Anomaly) 탐지 및 계량 알파 모델 개발.</t>
        </is>
      </c>
    </row>
    <row r="7" ht="22" customHeight="1">
      <c r="A7" s="22" t="n">
        <v>6</v>
      </c>
      <c r="B7" s="22" t="inlineStr">
        <is>
          <t>L1 Tier</t>
        </is>
      </c>
      <c r="C7" s="23" t="inlineStr">
        <is>
          <t>American Express</t>
        </is>
      </c>
      <c r="D7" s="24" t="inlineStr">
        <is>
          <t>Internship Programme - AI Engineer - 2027</t>
        </is>
      </c>
      <c r="E7" s="25" t="inlineStr">
        <is>
          <t>Trackr UK Tech</t>
        </is>
      </c>
      <c r="F7" s="26" t="inlineStr">
        <is>
          <t>AI and Machine Learning</t>
        </is>
      </c>
      <c r="G7" s="27" t="inlineStr">
        <is>
          <t>London, UK</t>
        </is>
      </c>
      <c r="H7" s="27" t="inlineStr">
        <is>
          <t>Penultimate (2028 졸) / 학생비자 가능</t>
        </is>
      </c>
      <c r="I7" s="27" t="inlineStr">
        <is>
          <t>Rolling</t>
        </is>
      </c>
      <c r="J7" s="26" t="inlineStr">
        <is>
          <t>To-Apply (L1)</t>
        </is>
      </c>
      <c r="K7" s="28" t="inlineStr">
        <is>
          <t>바로 지원하기 ↗</t>
        </is>
      </c>
      <c r="L7" s="24" t="inlineStr">
        <is>
          <t>[L1 최우선] 글로벌 결제 네트워크 빅데이터 기반 차세대 생성형 AI 및 머신러닝 모델 개발. 대기업 정규 스폰서십.</t>
        </is>
      </c>
    </row>
    <row r="8" ht="22" customHeight="1">
      <c r="A8" s="15" t="n">
        <v>7</v>
      </c>
      <c r="B8" s="15" t="inlineStr">
        <is>
          <t>L1 Tier</t>
        </is>
      </c>
      <c r="C8" s="16" t="inlineStr">
        <is>
          <t>Man Group</t>
        </is>
      </c>
      <c r="D8" s="17" t="inlineStr">
        <is>
          <t>People Analytics &amp; AI Transformation Analyst</t>
        </is>
      </c>
      <c r="E8" s="18" t="inlineStr">
        <is>
          <t>기업 공식포털 단독발굴
(Trackr 누락)</t>
        </is>
      </c>
      <c r="F8" s="19" t="inlineStr">
        <is>
          <t>Data / Behavioral AI</t>
        </is>
      </c>
      <c r="G8" s="20" t="inlineStr">
        <is>
          <t>London, UK</t>
        </is>
      </c>
      <c r="H8" s="20" t="inlineStr">
        <is>
          <t>Penultimate (2028 졸)</t>
        </is>
      </c>
      <c r="I8" s="20" t="inlineStr">
        <is>
          <t>Rolling</t>
        </is>
      </c>
      <c r="J8" s="19" t="inlineStr">
        <is>
          <t>To-Apply (L1)</t>
        </is>
      </c>
      <c r="K8" s="21" t="inlineStr">
        <is>
          <t>바로 지원하기 ↗</t>
        </is>
      </c>
      <c r="L8" s="17" t="inlineStr">
        <is>
          <t>[L1 최우선] 조직 행동 데이터 분석 및 사내 AI 전환 전략 수립. 심리학 및 데이터 분석 복합 역량과 100% 일치.</t>
        </is>
      </c>
    </row>
    <row r="9" ht="22" customHeight="1">
      <c r="A9" s="15" t="n">
        <v>8</v>
      </c>
      <c r="B9" s="15" t="inlineStr">
        <is>
          <t>L1 Tier</t>
        </is>
      </c>
      <c r="C9" s="16" t="inlineStr">
        <is>
          <t>Man Group</t>
        </is>
      </c>
      <c r="D9" s="17" t="inlineStr">
        <is>
          <t>2027 Summer Technology Internship Programme</t>
        </is>
      </c>
      <c r="E9" s="18" t="inlineStr">
        <is>
          <t>기업 공식포털 단독발굴
(Trackr 누락)</t>
        </is>
      </c>
      <c r="F9" s="19" t="inlineStr">
        <is>
          <t>Software / Data</t>
        </is>
      </c>
      <c r="G9" s="20" t="inlineStr">
        <is>
          <t>London, UK</t>
        </is>
      </c>
      <c r="H9" s="20" t="inlineStr">
        <is>
          <t>Penultimate (2028 졸) / 스폰서십 가능</t>
        </is>
      </c>
      <c r="I9" s="20" t="inlineStr">
        <is>
          <t>Rolling</t>
        </is>
      </c>
      <c r="J9" s="19" t="inlineStr">
        <is>
          <t>To-Apply (L1)</t>
        </is>
      </c>
      <c r="K9" s="21" t="inlineStr">
        <is>
          <t>바로 지원하기 ↗</t>
        </is>
      </c>
      <c r="L9" s="17" t="inlineStr">
        <is>
          <t>[L1 최우선] 대형 헤지펀드 기술 인프라 및 빅데이터 엔지니어링 인턴십.</t>
        </is>
      </c>
    </row>
    <row r="10" ht="22" customHeight="1">
      <c r="A10" s="22" t="n">
        <v>9</v>
      </c>
      <c r="B10" s="22" t="inlineStr">
        <is>
          <t>L1 Tier</t>
        </is>
      </c>
      <c r="C10" s="23" t="inlineStr">
        <is>
          <t>Tradeweb</t>
        </is>
      </c>
      <c r="D10" s="24" t="inlineStr">
        <is>
          <t>Summer 2027 AI Engineering Internship</t>
        </is>
      </c>
      <c r="E10" s="25" t="inlineStr">
        <is>
          <t>Trackr UK Tech</t>
        </is>
      </c>
      <c r="F10" s="26" t="inlineStr">
        <is>
          <t>AI and Machine Learning</t>
        </is>
      </c>
      <c r="G10" s="27" t="inlineStr">
        <is>
          <t>London, UK</t>
        </is>
      </c>
      <c r="H10" s="27" t="inlineStr">
        <is>
          <t>Penultimate (2028 졸)</t>
        </is>
      </c>
      <c r="I10" s="27" t="inlineStr">
        <is>
          <t>Rolling</t>
        </is>
      </c>
      <c r="J10" s="26" t="inlineStr">
        <is>
          <t>To-Apply (L1)</t>
        </is>
      </c>
      <c r="K10" s="28" t="inlineStr">
        <is>
          <t>바로 지원하기 ↗</t>
        </is>
      </c>
      <c r="L10" s="24" t="inlineStr">
        <is>
          <t>[L1 최우선] 기관 투자자용 글로벌 전자 거래 시스템 내 AI 알고리즘 적용 및 최적화.</t>
        </is>
      </c>
    </row>
    <row r="11" ht="22" customHeight="1">
      <c r="A11" s="22" t="n">
        <v>10</v>
      </c>
      <c r="B11" s="22" t="inlineStr">
        <is>
          <t>L1 Tier</t>
        </is>
      </c>
      <c r="C11" s="23" t="inlineStr">
        <is>
          <t>Bain &amp; Company</t>
        </is>
      </c>
      <c r="D11" s="24" t="inlineStr">
        <is>
          <t>AI Engineering, Intern</t>
        </is>
      </c>
      <c r="E11" s="25" t="inlineStr">
        <is>
          <t>Trackr UK Tech</t>
        </is>
      </c>
      <c r="F11" s="26" t="inlineStr">
        <is>
          <t>AI &amp; Tech Consulting</t>
        </is>
      </c>
      <c r="G11" s="27" t="inlineStr">
        <is>
          <t>London, UK</t>
        </is>
      </c>
      <c r="H11" s="27" t="inlineStr">
        <is>
          <t>Penultimate (2028 졸)</t>
        </is>
      </c>
      <c r="I11" s="27" t="inlineStr">
        <is>
          <t>Rolling</t>
        </is>
      </c>
      <c r="J11" s="26" t="inlineStr">
        <is>
          <t>To-Apply (L1)</t>
        </is>
      </c>
      <c r="K11" s="28" t="inlineStr">
        <is>
          <t>바로 지원하기 ↗</t>
        </is>
      </c>
      <c r="L11" s="24" t="inlineStr">
        <is>
          <t>[L1 최우선] 탑티어 글로벌 전략 컨설팅 펌의 차세대 AI 솔루션 엔지니어링 개발.</t>
        </is>
      </c>
    </row>
    <row r="12" ht="22" customHeight="1">
      <c r="A12" s="15" t="n">
        <v>11</v>
      </c>
      <c r="B12" s="15" t="inlineStr">
        <is>
          <t>L2 Tier</t>
        </is>
      </c>
      <c r="C12" s="16" t="inlineStr">
        <is>
          <t>Palantir</t>
        </is>
      </c>
      <c r="D12" s="17" t="inlineStr">
        <is>
          <t>Software Engineer, Internship</t>
        </is>
      </c>
      <c r="E12" s="18" t="inlineStr">
        <is>
          <t>기업 공식포털 단독발굴
(Trackr 완전누락)</t>
        </is>
      </c>
      <c r="F12" s="19" t="inlineStr">
        <is>
          <t>Software Engineering</t>
        </is>
      </c>
      <c r="G12" s="20" t="inlineStr">
        <is>
          <t>London, UK</t>
        </is>
      </c>
      <c r="H12" s="20" t="inlineStr">
        <is>
          <t>Penultimate (2028 졸)</t>
        </is>
      </c>
      <c r="I12" s="20" t="inlineStr">
        <is>
          <t>Rolling</t>
        </is>
      </c>
      <c r="J12" s="19" t="inlineStr">
        <is>
          <t>To-Apply (L2)</t>
        </is>
      </c>
      <c r="K12" s="21" t="inlineStr">
        <is>
          <t>바로 지원하기 ↗</t>
        </is>
      </c>
      <c r="L12" s="17" t="inlineStr">
        <is>
          <t>대규모 분산 컴퓨팅 및 AIP 플랫폼 코어 엔지니어링.</t>
        </is>
      </c>
    </row>
    <row r="13" ht="22" customHeight="1">
      <c r="A13" s="22" t="n">
        <v>12</v>
      </c>
      <c r="B13" s="22" t="inlineStr">
        <is>
          <t>L2 Tier</t>
        </is>
      </c>
      <c r="C13" s="23" t="inlineStr">
        <is>
          <t>IMC Trading</t>
        </is>
      </c>
      <c r="D13" s="24" t="inlineStr">
        <is>
          <t>Machine Learning Research Intern - Summer 2027</t>
        </is>
      </c>
      <c r="E13" s="25" t="inlineStr">
        <is>
          <t>Trackr UK Tech</t>
        </is>
      </c>
      <c r="F13" s="26" t="inlineStr">
        <is>
          <t>AI &amp; ML / Quant</t>
        </is>
      </c>
      <c r="G13" s="27" t="inlineStr">
        <is>
          <t>London, UK</t>
        </is>
      </c>
      <c r="H13" s="27" t="inlineStr">
        <is>
          <t>Penultimate (2028 졸)</t>
        </is>
      </c>
      <c r="I13" s="27" t="inlineStr">
        <is>
          <t>Rolling</t>
        </is>
      </c>
      <c r="J13" s="26" t="inlineStr">
        <is>
          <t>To-Apply (L2)</t>
        </is>
      </c>
      <c r="K13" s="28" t="inlineStr">
        <is>
          <t>바로 지원하기 ↗</t>
        </is>
      </c>
      <c r="L13" s="24" t="inlineStr">
        <is>
          <t>딥러닝 및 강화학습 기반 초단타 트레이딩 알고리즘 연구.</t>
        </is>
      </c>
    </row>
    <row r="14" ht="22" customHeight="1">
      <c r="A14" s="22" t="n">
        <v>13</v>
      </c>
      <c r="B14" s="22" t="inlineStr">
        <is>
          <t>L2 Tier</t>
        </is>
      </c>
      <c r="C14" s="23" t="inlineStr">
        <is>
          <t>Marshall Wace</t>
        </is>
      </c>
      <c r="D14" s="24" t="inlineStr">
        <is>
          <t>Technology Intern - 2027</t>
        </is>
      </c>
      <c r="E14" s="25" t="inlineStr">
        <is>
          <t>Trackr UK Tech</t>
        </is>
      </c>
      <c r="F14" s="26" t="inlineStr">
        <is>
          <t>Data / Technology</t>
        </is>
      </c>
      <c r="G14" s="27" t="inlineStr">
        <is>
          <t>London, UK</t>
        </is>
      </c>
      <c r="H14" s="27" t="inlineStr">
        <is>
          <t>Penultimate (2028 졸)</t>
        </is>
      </c>
      <c r="I14" s="27" t="inlineStr">
        <is>
          <t>Rolling</t>
        </is>
      </c>
      <c r="J14" s="26" t="inlineStr">
        <is>
          <t>To-Apply (L2)</t>
        </is>
      </c>
      <c r="K14" s="28" t="inlineStr">
        <is>
          <t>바로 지원하기 ↗</t>
        </is>
      </c>
      <c r="L14" s="24" t="inlineStr">
        <is>
          <t>영국 대표 퀀트 헤지펀드 테크놀로지 부서 인턴십. 고성능 시계열 데이터 처리.</t>
        </is>
      </c>
    </row>
    <row r="15" ht="22" customHeight="1">
      <c r="A15" s="22" t="n">
        <v>14</v>
      </c>
      <c r="B15" s="22" t="inlineStr">
        <is>
          <t>L2 Tier</t>
        </is>
      </c>
      <c r="C15" s="23" t="inlineStr">
        <is>
          <t>Hudson River Trading (HRT)</t>
        </is>
      </c>
      <c r="D15" s="24" t="inlineStr">
        <is>
          <t>Software Engineering Internship (Summer 2027)</t>
        </is>
      </c>
      <c r="E15" s="25" t="inlineStr">
        <is>
          <t>Trackr UK Tech</t>
        </is>
      </c>
      <c r="F15" s="26" t="inlineStr">
        <is>
          <t>Quant Dev / SWE</t>
        </is>
      </c>
      <c r="G15" s="27" t="inlineStr">
        <is>
          <t>London, UK</t>
        </is>
      </c>
      <c r="H15" s="27" t="inlineStr">
        <is>
          <t>Penultimate (2028 졸)</t>
        </is>
      </c>
      <c r="I15" s="27" t="inlineStr">
        <is>
          <t>Rolling</t>
        </is>
      </c>
      <c r="J15" s="26" t="inlineStr">
        <is>
          <t>To-Apply (L2)</t>
        </is>
      </c>
      <c r="K15" s="28" t="inlineStr">
        <is>
          <t>바로 지원하기 ↗</t>
        </is>
      </c>
      <c r="L15" s="24" t="inlineStr">
        <is>
          <t>Python 및 C++ 기반 초저지연 분산 트레이딩 플랫폼 개발.</t>
        </is>
      </c>
    </row>
    <row r="16" ht="22" customHeight="1">
      <c r="A16" s="29" t="n">
        <v>15</v>
      </c>
      <c r="B16" s="29" t="inlineStr">
        <is>
          <t>L2 Tier</t>
        </is>
      </c>
      <c r="C16" s="30" t="inlineStr">
        <is>
          <t>Optiver</t>
        </is>
      </c>
      <c r="D16" s="31" t="inlineStr">
        <is>
          <t>Quantitative Trading Internship (2027 Start)</t>
        </is>
      </c>
      <c r="E16" s="32" t="inlineStr">
        <is>
          <t>Trackr UK Finance</t>
        </is>
      </c>
      <c r="F16" s="33" t="inlineStr">
        <is>
          <t>Trading and Quant</t>
        </is>
      </c>
      <c r="G16" s="34" t="inlineStr">
        <is>
          <t>London, UK</t>
        </is>
      </c>
      <c r="H16" s="34" t="inlineStr">
        <is>
          <t>Penultimate (2028 졸)</t>
        </is>
      </c>
      <c r="I16" s="34" t="inlineStr">
        <is>
          <t>Rolling</t>
        </is>
      </c>
      <c r="J16" s="33" t="inlineStr">
        <is>
          <t>To-Apply (L2)</t>
        </is>
      </c>
      <c r="K16" s="35" t="inlineStr">
        <is>
          <t>바로 지원하기 ↗</t>
        </is>
      </c>
      <c r="L16" s="31" t="inlineStr">
        <is>
          <t>글로벌 마켓메이커 정규 인턴십. 계량 수학 및 알고리즘 트레이딩.</t>
        </is>
      </c>
    </row>
    <row r="17" ht="22" customHeight="1">
      <c r="A17" s="22" t="n">
        <v>16</v>
      </c>
      <c r="B17" s="22" t="inlineStr">
        <is>
          <t>L2 Tier</t>
        </is>
      </c>
      <c r="C17" s="23" t="inlineStr">
        <is>
          <t>Quadrature</t>
        </is>
      </c>
      <c r="D17" s="24" t="inlineStr">
        <is>
          <t>Quant Developer Internship</t>
        </is>
      </c>
      <c r="E17" s="25" t="inlineStr">
        <is>
          <t>Trackr UK Tech</t>
        </is>
      </c>
      <c r="F17" s="26" t="inlineStr">
        <is>
          <t>Quant Dev</t>
        </is>
      </c>
      <c r="G17" s="27" t="inlineStr">
        <is>
          <t>London, UK</t>
        </is>
      </c>
      <c r="H17" s="27" t="inlineStr">
        <is>
          <t>Penultimate (2028 졸)</t>
        </is>
      </c>
      <c r="I17" s="27" t="inlineStr">
        <is>
          <t>2026-12-31 마감</t>
        </is>
      </c>
      <c r="J17" s="26" t="inlineStr">
        <is>
          <t>To-Apply (L2)</t>
        </is>
      </c>
      <c r="K17" s="28" t="inlineStr">
        <is>
          <t>바로 지원하기 ↗</t>
        </is>
      </c>
      <c r="L17" s="24" t="inlineStr">
        <is>
          <t>런던 탑티어 퀀트 투자사의 데이터 엔지니어링 및 트레이딩 알고리즘 구현.</t>
        </is>
      </c>
    </row>
    <row r="18" ht="22" customHeight="1">
      <c r="A18" s="15" t="n">
        <v>17</v>
      </c>
      <c r="B18" s="15" t="inlineStr">
        <is>
          <t>L2 Tier</t>
        </is>
      </c>
      <c r="C18" s="16" t="inlineStr">
        <is>
          <t>Virtu Financial</t>
        </is>
      </c>
      <c r="D18" s="17" t="inlineStr">
        <is>
          <t>2027 Summer Internship - Technical</t>
        </is>
      </c>
      <c r="E18" s="18" t="inlineStr">
        <is>
          <t>기업 공식포털 단독발굴
(Trackr 누락)</t>
        </is>
      </c>
      <c r="F18" s="19" t="inlineStr">
        <is>
          <t>Tech / Quant Systems</t>
        </is>
      </c>
      <c r="G18" s="20" t="inlineStr">
        <is>
          <t>London, UK</t>
        </is>
      </c>
      <c r="H18" s="20" t="inlineStr">
        <is>
          <t>Penultimate (2028 졸)</t>
        </is>
      </c>
      <c r="I18" s="20" t="inlineStr">
        <is>
          <t>Rolling</t>
        </is>
      </c>
      <c r="J18" s="19" t="inlineStr">
        <is>
          <t>To-Apply (L2)</t>
        </is>
      </c>
      <c r="K18" s="21" t="inlineStr">
        <is>
          <t>바로 지원하기 ↗</t>
        </is>
      </c>
      <c r="L18" s="17" t="inlineStr">
        <is>
          <t>글로벌 마켓메이커 기술 인프라 및 트레이딩 시스템 엔지니어링.</t>
        </is>
      </c>
    </row>
    <row r="19" ht="22" customHeight="1">
      <c r="A19" s="15" t="n">
        <v>18</v>
      </c>
      <c r="B19" s="15" t="inlineStr">
        <is>
          <t>L2 Tier</t>
        </is>
      </c>
      <c r="C19" s="16" t="inlineStr">
        <is>
          <t>Maven Securities</t>
        </is>
      </c>
      <c r="D19" s="17" t="inlineStr">
        <is>
          <t>London Trader Summer Internship 2027</t>
        </is>
      </c>
      <c r="E19" s="18" t="inlineStr">
        <is>
          <t>기업 공식포털 단독발굴
(Trackr 누락)</t>
        </is>
      </c>
      <c r="F19" s="19" t="inlineStr">
        <is>
          <t>Quant Trading</t>
        </is>
      </c>
      <c r="G19" s="20" t="inlineStr">
        <is>
          <t>London, UK</t>
        </is>
      </c>
      <c r="H19" s="20" t="inlineStr">
        <is>
          <t>Penultimate (2028 졸)</t>
        </is>
      </c>
      <c r="I19" s="20" t="inlineStr">
        <is>
          <t>2026-10-21 마감</t>
        </is>
      </c>
      <c r="J19" s="19" t="inlineStr">
        <is>
          <t>To-Apply (L2)</t>
        </is>
      </c>
      <c r="K19" s="21" t="inlineStr">
        <is>
          <t>바로 지원하기 ↗</t>
        </is>
      </c>
      <c r="L19" s="17" t="inlineStr">
        <is>
          <t>런던 파생상품 마켓메이킹 알고리즘 및 트레이딩 데스크 실무.</t>
        </is>
      </c>
    </row>
    <row r="20" ht="22" customHeight="1">
      <c r="A20" s="15" t="n">
        <v>19</v>
      </c>
      <c r="B20" s="15" t="inlineStr">
        <is>
          <t>L2 Tier</t>
        </is>
      </c>
      <c r="C20" s="16" t="inlineStr">
        <is>
          <t>The Technology Partnership (TTP)</t>
        </is>
      </c>
      <c r="D20" s="17" t="inlineStr">
        <is>
          <t>Summer Internship - Electronic Engineering Consultant</t>
        </is>
      </c>
      <c r="E20" s="18" t="inlineStr">
        <is>
          <t>기업 공식포털 단독발굴
(Trackr 누락)</t>
        </is>
      </c>
      <c r="F20" s="19" t="inlineStr">
        <is>
          <t>Tech Consulting / Hardware</t>
        </is>
      </c>
      <c r="G20" s="20" t="inlineStr">
        <is>
          <t>Melbourn, UK</t>
        </is>
      </c>
      <c r="H20" s="20" t="inlineStr">
        <is>
          <t>Penultimate (2028 졸)</t>
        </is>
      </c>
      <c r="I20" s="20" t="inlineStr">
        <is>
          <t>Rolling</t>
        </is>
      </c>
      <c r="J20" s="19" t="inlineStr">
        <is>
          <t>To-Apply (L2)</t>
        </is>
      </c>
      <c r="K20" s="21" t="inlineStr">
        <is>
          <t>바로 지원하기 ↗</t>
        </is>
      </c>
      <c r="L20" s="17" t="inlineStr">
        <is>
          <t>헬스케어 및 메디컬 디바이스, 바이오 센서 하드웨어 프로토타이핑 컨설팅.</t>
        </is>
      </c>
    </row>
    <row r="21" ht="24" customHeight="1"/>
  </sheetData>
  <autoFilter ref="A1:L20"/>
  <dataValidations count="2">
    <dataValidation sqref="J2:J20" showDropDown="0" showInputMessage="0" showErrorMessage="0" allowBlank="1" type="list">
      <formula1>"To-Apply (L1),To-Apply (L2),Applied,Interview,Offer,Rejected,Saved"</formula1>
    </dataValidation>
    <dataValidation sqref="B2:B20" showDropDown="0" showInputMessage="0" showErrorMessage="0" allowBlank="1" type="list">
      <formula1>"L1 Tier,L2 Tier,L3 Tier"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I73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42" customWidth="1" min="3" max="3"/>
    <col width="82" customWidth="1" min="4" max="4"/>
    <col width="55" customWidth="1" min="5" max="5"/>
    <col width="26" customWidth="1" min="6" max="6"/>
    <col width="20" customWidth="1" min="7" max="7"/>
    <col width="28" customWidth="1" min="8" max="8"/>
    <col width="20" customWidth="1" min="9" max="9"/>
  </cols>
  <sheetData>
    <row r="1" ht="28" customHeight="1">
      <c r="A1" s="36" t="inlineStr">
        <is>
          <t>No</t>
        </is>
      </c>
      <c r="B1" s="36" t="inlineStr">
        <is>
          <t>Stream / Track</t>
        </is>
      </c>
      <c r="C1" s="37" t="inlineStr">
        <is>
          <t>Company Name / ID (기업명)</t>
        </is>
      </c>
      <c r="D1" s="36" t="inlineStr">
        <is>
          <t>Programme Name</t>
        </is>
      </c>
      <c r="E1" s="36" t="inlineStr">
        <is>
          <t>Categories</t>
        </is>
      </c>
      <c r="F1" s="36" t="inlineStr">
        <is>
          <t>Locations</t>
        </is>
      </c>
      <c r="G1" s="36" t="inlineStr">
        <is>
          <t>Visa Sponsorship</t>
        </is>
      </c>
      <c r="H1" s="36" t="inlineStr">
        <is>
          <t>Closing Date</t>
        </is>
      </c>
      <c r="I1" s="36" t="inlineStr">
        <is>
          <t>Application URL</t>
        </is>
      </c>
    </row>
    <row r="2" ht="20" customHeight="1">
      <c r="A2" s="38" t="n">
        <v>1</v>
      </c>
      <c r="B2" s="39" t="inlineStr">
        <is>
          <t>Tech &amp; Software / AI</t>
        </is>
      </c>
      <c r="C2" s="40" t="inlineStr">
        <is>
          <t>american-express</t>
        </is>
      </c>
      <c r="D2" s="41" t="inlineStr">
        <is>
          <t>Internship Programme - AI Engineer - 2027</t>
        </is>
      </c>
      <c r="E2" s="41" t="inlineStr">
        <is>
          <t>Software Engineering, AI and Machine Learning, Cyber Security</t>
        </is>
      </c>
      <c r="F2" s="41" t="n"/>
      <c r="G2" s="42" t="inlineStr">
        <is>
          <t>N/A</t>
        </is>
      </c>
      <c r="H2" s="42" t="inlineStr">
        <is>
          <t>Rolling / Unspecified</t>
        </is>
      </c>
      <c r="I2" s="43" t="inlineStr">
        <is>
          <t>지원 링크 ↗</t>
        </is>
      </c>
    </row>
    <row r="3" ht="20" customHeight="1">
      <c r="A3" s="38" t="n">
        <v>2</v>
      </c>
      <c r="B3" s="39" t="inlineStr">
        <is>
          <t>Tech &amp; Software / AI</t>
        </is>
      </c>
      <c r="C3" s="40" t="inlineStr">
        <is>
          <t>johnson-johnson</t>
        </is>
      </c>
      <c r="D3" s="41" t="inlineStr">
        <is>
          <t>AI/ML Summer Intern - Statistics &amp; Decision Sciences (SDS)</t>
        </is>
      </c>
      <c r="E3" s="41" t="inlineStr">
        <is>
          <t>AI and Machine Learning</t>
        </is>
      </c>
      <c r="F3" s="41" t="n"/>
      <c r="G3" s="42" t="inlineStr">
        <is>
          <t>N/A</t>
        </is>
      </c>
      <c r="H3" s="42" t="inlineStr">
        <is>
          <t>Rolling / Unspecified</t>
        </is>
      </c>
      <c r="I3" s="42" t="inlineStr">
        <is>
          <t>미제공 (포털직접)</t>
        </is>
      </c>
    </row>
    <row r="4" ht="20" customHeight="1">
      <c r="A4" s="38" t="n">
        <v>3</v>
      </c>
      <c r="B4" s="39" t="inlineStr">
        <is>
          <t>Tech &amp; Software / AI</t>
        </is>
      </c>
      <c r="C4" s="40" t="inlineStr">
        <is>
          <t>compare-the-market</t>
        </is>
      </c>
      <c r="D4" s="41" t="inlineStr">
        <is>
          <t>Data Intern</t>
        </is>
      </c>
      <c r="E4" s="41" t="inlineStr">
        <is>
          <t>Data Science</t>
        </is>
      </c>
      <c r="F4" s="41" t="n"/>
      <c r="G4" s="42" t="inlineStr">
        <is>
          <t>N/A</t>
        </is>
      </c>
      <c r="H4" s="42" t="inlineStr">
        <is>
          <t>Rolling / Unspecified</t>
        </is>
      </c>
      <c r="I4" s="42" t="inlineStr">
        <is>
          <t>미제공 (포털직접)</t>
        </is>
      </c>
    </row>
    <row r="5" ht="20" customHeight="1">
      <c r="A5" s="38" t="n">
        <v>4</v>
      </c>
      <c r="B5" s="39" t="inlineStr">
        <is>
          <t>Tech &amp; Software / AI</t>
        </is>
      </c>
      <c r="C5" s="40" t="inlineStr">
        <is>
          <t>government-statistical-service</t>
        </is>
      </c>
      <c r="D5" s="41" t="inlineStr">
        <is>
          <t>Summer Student Placements 2027</t>
        </is>
      </c>
      <c r="E5" s="41" t="inlineStr">
        <is>
          <t>Data Science</t>
        </is>
      </c>
      <c r="F5" s="41" t="n"/>
      <c r="G5" s="42" t="inlineStr">
        <is>
          <t>N/A</t>
        </is>
      </c>
      <c r="H5" s="42" t="inlineStr">
        <is>
          <t>Rolling / Unspecified</t>
        </is>
      </c>
      <c r="I5" s="42" t="inlineStr">
        <is>
          <t>미제공 (포털직접)</t>
        </is>
      </c>
    </row>
    <row r="6" ht="20" customHeight="1">
      <c r="A6" s="38" t="n">
        <v>5</v>
      </c>
      <c r="B6" s="39" t="inlineStr">
        <is>
          <t>Tech &amp; Software / AI</t>
        </is>
      </c>
      <c r="C6" s="40" t="inlineStr">
        <is>
          <t>caxton-associates</t>
        </is>
      </c>
      <c r="D6" s="41" t="inlineStr">
        <is>
          <t>2027 Summer Internship Programme</t>
        </is>
      </c>
      <c r="E6" s="41" t="inlineStr">
        <is>
          <t>Data Science</t>
        </is>
      </c>
      <c r="F6" s="41" t="n"/>
      <c r="G6" s="42" t="inlineStr">
        <is>
          <t>N/A</t>
        </is>
      </c>
      <c r="H6" s="42" t="inlineStr">
        <is>
          <t>Rolling / Unspecified</t>
        </is>
      </c>
      <c r="I6" s="42" t="inlineStr">
        <is>
          <t>미제공 (포털직접)</t>
        </is>
      </c>
    </row>
    <row r="7" ht="20" customHeight="1">
      <c r="A7" s="38" t="n">
        <v>6</v>
      </c>
      <c r="B7" s="39" t="inlineStr">
        <is>
          <t>Tech &amp; Software / AI</t>
        </is>
      </c>
      <c r="C7" s="40" t="inlineStr">
        <is>
          <t>american-express</t>
        </is>
      </c>
      <c r="D7" s="41" t="inlineStr">
        <is>
          <t>Internship Programme - Information Security Engineer - 2027</t>
        </is>
      </c>
      <c r="E7" s="41" t="inlineStr">
        <is>
          <t>Software Engineering, AI and Machine Learning, Cyber Security</t>
        </is>
      </c>
      <c r="F7" s="41" t="n"/>
      <c r="G7" s="42" t="inlineStr">
        <is>
          <t>N/A</t>
        </is>
      </c>
      <c r="H7" s="42" t="inlineStr">
        <is>
          <t>Rolling / Unspecified</t>
        </is>
      </c>
      <c r="I7" s="43" t="inlineStr">
        <is>
          <t>지원 링크 ↗</t>
        </is>
      </c>
    </row>
    <row r="8" ht="20" customHeight="1">
      <c r="A8" s="38" t="n">
        <v>7</v>
      </c>
      <c r="B8" s="39" t="inlineStr">
        <is>
          <t>Tech &amp; Software / AI</t>
        </is>
      </c>
      <c r="C8" s="40" t="inlineStr">
        <is>
          <t>general-electric</t>
        </is>
      </c>
      <c r="D8" s="41" t="inlineStr">
        <is>
          <t>GE Vernova - Data Analyst Intern</t>
        </is>
      </c>
      <c r="E8" s="41" t="inlineStr">
        <is>
          <t>Data Science</t>
        </is>
      </c>
      <c r="F8" s="41" t="n"/>
      <c r="G8" s="42" t="inlineStr">
        <is>
          <t>N/A</t>
        </is>
      </c>
      <c r="H8" s="42" t="inlineStr">
        <is>
          <t>Rolling / Unspecified</t>
        </is>
      </c>
      <c r="I8" s="42" t="inlineStr">
        <is>
          <t>미제공 (포털직접)</t>
        </is>
      </c>
    </row>
    <row r="9" ht="20" customHeight="1">
      <c r="A9" s="38" t="n">
        <v>8</v>
      </c>
      <c r="B9" s="39" t="inlineStr">
        <is>
          <t>Tech &amp; Software / AI</t>
        </is>
      </c>
      <c r="C9" s="40" t="inlineStr">
        <is>
          <t>checkout-com</t>
        </is>
      </c>
      <c r="D9" s="41" t="inlineStr">
        <is>
          <t>Intern, Data Analytics</t>
        </is>
      </c>
      <c r="E9" s="41" t="inlineStr">
        <is>
          <t>Data Science</t>
        </is>
      </c>
      <c r="F9" s="41" t="n"/>
      <c r="G9" s="42" t="inlineStr">
        <is>
          <t>N/A</t>
        </is>
      </c>
      <c r="H9" s="42" t="inlineStr">
        <is>
          <t>Rolling / Unspecified</t>
        </is>
      </c>
      <c r="I9" s="42" t="inlineStr">
        <is>
          <t>미제공 (포털직접)</t>
        </is>
      </c>
    </row>
    <row r="10" ht="20" customHeight="1">
      <c r="A10" s="38" t="n">
        <v>9</v>
      </c>
      <c r="B10" s="39" t="inlineStr">
        <is>
          <t>Tech &amp; Software / AI</t>
        </is>
      </c>
      <c r="C10" s="40" t="inlineStr">
        <is>
          <t>australiansuper</t>
        </is>
      </c>
      <c r="D10" s="41" t="inlineStr">
        <is>
          <t>2027 Summer Intern Program</t>
        </is>
      </c>
      <c r="E10" s="41" t="inlineStr">
        <is>
          <t>Software Engineering, Data Science, DevOps and Infrastructure, Cyber Security</t>
        </is>
      </c>
      <c r="F10" s="41" t="n"/>
      <c r="G10" s="42" t="inlineStr">
        <is>
          <t>N/A</t>
        </is>
      </c>
      <c r="H10" s="42" t="inlineStr">
        <is>
          <t>Rolling / Unspecified</t>
        </is>
      </c>
      <c r="I10" s="42" t="inlineStr">
        <is>
          <t>미제공 (포털직접)</t>
        </is>
      </c>
    </row>
    <row r="11" ht="20" customHeight="1">
      <c r="A11" s="38" t="n">
        <v>10</v>
      </c>
      <c r="B11" s="39" t="inlineStr">
        <is>
          <t>Tech &amp; Software / AI</t>
        </is>
      </c>
      <c r="C11" s="40" t="inlineStr">
        <is>
          <t>btg-pactual</t>
        </is>
      </c>
      <c r="D11" s="41" t="inlineStr">
        <is>
          <t>Summer Undergrad 2027</t>
        </is>
      </c>
      <c r="E11" s="41" t="inlineStr">
        <is>
          <t>Software Engineering, Data Science, DevOps and Infrastructure, Cyber Security</t>
        </is>
      </c>
      <c r="F11" s="41" t="n"/>
      <c r="G11" s="42" t="inlineStr">
        <is>
          <t>N/A</t>
        </is>
      </c>
      <c r="H11" s="42" t="inlineStr">
        <is>
          <t>Rolling / Unspecified</t>
        </is>
      </c>
      <c r="I11" s="43" t="inlineStr">
        <is>
          <t>지원 링크 ↗</t>
        </is>
      </c>
    </row>
    <row r="12" ht="20" customHeight="1">
      <c r="A12" s="38" t="n">
        <v>11</v>
      </c>
      <c r="B12" s="39" t="inlineStr">
        <is>
          <t>Tech &amp; Software / AI</t>
        </is>
      </c>
      <c r="C12" s="40" t="inlineStr">
        <is>
          <t>hsbc</t>
        </is>
      </c>
      <c r="D12" s="41" t="inlineStr">
        <is>
          <t>Quant Trading and Machine Learning Associate - Internship</t>
        </is>
      </c>
      <c r="E12" s="41" t="inlineStr">
        <is>
          <t>AI and Machine Learning</t>
        </is>
      </c>
      <c r="F12" s="41" t="n"/>
      <c r="G12" s="42" t="inlineStr">
        <is>
          <t>N/A</t>
        </is>
      </c>
      <c r="H12" s="42" t="inlineStr">
        <is>
          <t>Rolling / Unspecified</t>
        </is>
      </c>
      <c r="I12" s="42" t="inlineStr">
        <is>
          <t>미제공 (포털직접)</t>
        </is>
      </c>
    </row>
    <row r="13" ht="20" customHeight="1">
      <c r="A13" s="38" t="n">
        <v>12</v>
      </c>
      <c r="B13" s="39" t="inlineStr">
        <is>
          <t>Tech &amp; Software / AI</t>
        </is>
      </c>
      <c r="C13" s="40" t="inlineStr">
        <is>
          <t>fti-consulting</t>
        </is>
      </c>
      <c r="D13" s="41" t="inlineStr">
        <is>
          <t>2027 Summer Internship</t>
        </is>
      </c>
      <c r="E13" s="41" t="inlineStr">
        <is>
          <t>Tech Consulting</t>
        </is>
      </c>
      <c r="F13" s="41" t="n"/>
      <c r="G13" s="42" t="inlineStr">
        <is>
          <t>N/A</t>
        </is>
      </c>
      <c r="H13" s="42" t="inlineStr">
        <is>
          <t>Rolling / Unspecified</t>
        </is>
      </c>
      <c r="I13" s="42" t="inlineStr">
        <is>
          <t>미제공 (포털직접)</t>
        </is>
      </c>
    </row>
    <row r="14" ht="20" customHeight="1">
      <c r="A14" s="38" t="n">
        <v>13</v>
      </c>
      <c r="B14" s="39" t="inlineStr">
        <is>
          <t>Tech &amp; Software / AI</t>
        </is>
      </c>
      <c r="C14" s="40" t="inlineStr">
        <is>
          <t>stmicroelectronics</t>
        </is>
      </c>
      <c r="D14" s="41" t="inlineStr">
        <is>
          <t>Intern - Machine Learning &amp; AI</t>
        </is>
      </c>
      <c r="E14" s="41" t="inlineStr">
        <is>
          <t>AI and Machine Learning</t>
        </is>
      </c>
      <c r="F14" s="41" t="n"/>
      <c r="G14" s="42" t="inlineStr">
        <is>
          <t>N/A</t>
        </is>
      </c>
      <c r="H14" s="42" t="inlineStr">
        <is>
          <t>Rolling / Unspecified</t>
        </is>
      </c>
      <c r="I14" s="42" t="inlineStr">
        <is>
          <t>미제공 (포털직접)</t>
        </is>
      </c>
    </row>
    <row r="15" ht="20" customHeight="1">
      <c r="A15" s="38" t="n">
        <v>14</v>
      </c>
      <c r="B15" s="39" t="inlineStr">
        <is>
          <t>Tech &amp; Software / AI</t>
        </is>
      </c>
      <c r="C15" s="40" t="inlineStr">
        <is>
          <t>wise</t>
        </is>
      </c>
      <c r="D15" s="41" t="inlineStr">
        <is>
          <t>Analytics Intern</t>
        </is>
      </c>
      <c r="E15" s="41" t="inlineStr">
        <is>
          <t>Data Science</t>
        </is>
      </c>
      <c r="F15" s="41" t="n"/>
      <c r="G15" s="42" t="inlineStr">
        <is>
          <t>N/A</t>
        </is>
      </c>
      <c r="H15" s="42" t="inlineStr">
        <is>
          <t>Rolling / Unspecified</t>
        </is>
      </c>
      <c r="I15" s="42" t="inlineStr">
        <is>
          <t>미제공 (포털직접)</t>
        </is>
      </c>
    </row>
    <row r="16" ht="20" customHeight="1">
      <c r="A16" s="38" t="n">
        <v>15</v>
      </c>
      <c r="B16" s="39" t="inlineStr">
        <is>
          <t>Tech &amp; Software / AI</t>
        </is>
      </c>
      <c r="C16" s="40" t="inlineStr">
        <is>
          <t>spotify</t>
        </is>
      </c>
      <c r="D16" s="41" t="inlineStr">
        <is>
          <t>2027 Summer Internship, Machine Learning Engineering</t>
        </is>
      </c>
      <c r="E16" s="41" t="inlineStr">
        <is>
          <t>AI and Machine Learning</t>
        </is>
      </c>
      <c r="F16" s="41" t="n"/>
      <c r="G16" s="42" t="inlineStr">
        <is>
          <t>N/A</t>
        </is>
      </c>
      <c r="H16" s="42" t="inlineStr">
        <is>
          <t>Rolling / Unspecified</t>
        </is>
      </c>
      <c r="I16" s="42" t="inlineStr">
        <is>
          <t>미제공 (포털직접)</t>
        </is>
      </c>
    </row>
    <row r="17" ht="20" customHeight="1">
      <c r="A17" s="38" t="n">
        <v>16</v>
      </c>
      <c r="B17" s="39" t="inlineStr">
        <is>
          <t>Tech &amp; Software / AI</t>
        </is>
      </c>
      <c r="C17" s="40" t="inlineStr">
        <is>
          <t>quantbot-technologies</t>
        </is>
      </c>
      <c r="D17" s="41" t="inlineStr">
        <is>
          <t>Data Trading Analyst Summer Internship - 2027</t>
        </is>
      </c>
      <c r="E17" s="41" t="inlineStr">
        <is>
          <t>Data Science</t>
        </is>
      </c>
      <c r="F17" s="41" t="n"/>
      <c r="G17" s="42" t="inlineStr">
        <is>
          <t>N/A</t>
        </is>
      </c>
      <c r="H17" s="42" t="inlineStr">
        <is>
          <t>Rolling / Unspecified</t>
        </is>
      </c>
      <c r="I17" s="43" t="inlineStr">
        <is>
          <t>지원 링크 ↗</t>
        </is>
      </c>
    </row>
    <row r="18" ht="20" customHeight="1">
      <c r="A18" s="38" t="n">
        <v>17</v>
      </c>
      <c r="B18" s="39" t="inlineStr">
        <is>
          <t>Tech &amp; Software / AI</t>
        </is>
      </c>
      <c r="C18" s="40" t="inlineStr">
        <is>
          <t>deliveroo</t>
        </is>
      </c>
      <c r="D18" s="41" t="inlineStr">
        <is>
          <t>Machine Learning Intern</t>
        </is>
      </c>
      <c r="E18" s="41" t="inlineStr">
        <is>
          <t>AI and Machine Learning</t>
        </is>
      </c>
      <c r="F18" s="41" t="n"/>
      <c r="G18" s="42" t="inlineStr">
        <is>
          <t>N/A</t>
        </is>
      </c>
      <c r="H18" s="42" t="inlineStr">
        <is>
          <t>Rolling / Unspecified</t>
        </is>
      </c>
      <c r="I18" s="42" t="inlineStr">
        <is>
          <t>미제공 (포털직접)</t>
        </is>
      </c>
    </row>
    <row r="19" ht="20" customHeight="1">
      <c r="A19" s="38" t="n">
        <v>18</v>
      </c>
      <c r="B19" s="39" t="inlineStr">
        <is>
          <t>Tech &amp; Software / AI</t>
        </is>
      </c>
      <c r="C19" s="40" t="inlineStr">
        <is>
          <t>hiscox</t>
        </is>
      </c>
      <c r="D19" s="41" t="inlineStr">
        <is>
          <t>2027 Summer Intern</t>
        </is>
      </c>
      <c r="E19" s="41" t="inlineStr">
        <is>
          <t>Software Engineering, Data Science</t>
        </is>
      </c>
      <c r="F19" s="41" t="n"/>
      <c r="G19" s="42" t="inlineStr">
        <is>
          <t>N/A</t>
        </is>
      </c>
      <c r="H19" s="42" t="inlineStr">
        <is>
          <t>Rolling / Unspecified</t>
        </is>
      </c>
      <c r="I19" s="42" t="inlineStr">
        <is>
          <t>미제공 (포털직접)</t>
        </is>
      </c>
    </row>
    <row r="20" ht="20" customHeight="1">
      <c r="A20" s="38" t="n">
        <v>19</v>
      </c>
      <c r="B20" s="39" t="inlineStr">
        <is>
          <t>Tech &amp; Software / AI</t>
        </is>
      </c>
      <c r="C20" s="40" t="inlineStr">
        <is>
          <t>legal-general</t>
        </is>
      </c>
      <c r="D20" s="41" t="inlineStr">
        <is>
          <t>Data Internship 2027</t>
        </is>
      </c>
      <c r="E20" s="41" t="inlineStr">
        <is>
          <t>Data Science</t>
        </is>
      </c>
      <c r="F20" s="41" t="n"/>
      <c r="G20" s="42" t="inlineStr">
        <is>
          <t>N/A</t>
        </is>
      </c>
      <c r="H20" s="42" t="inlineStr">
        <is>
          <t>Rolling / Unspecified</t>
        </is>
      </c>
      <c r="I20" s="42" t="inlineStr">
        <is>
          <t>미제공 (포털직접)</t>
        </is>
      </c>
    </row>
    <row r="21" ht="20" customHeight="1">
      <c r="A21" s="38" t="n">
        <v>20</v>
      </c>
      <c r="B21" s="39" t="inlineStr">
        <is>
          <t>Tech &amp; Software / AI</t>
        </is>
      </c>
      <c r="C21" s="40" t="inlineStr">
        <is>
          <t>red-bull</t>
        </is>
      </c>
      <c r="D21" s="41" t="inlineStr">
        <is>
          <t>Field Data Intern</t>
        </is>
      </c>
      <c r="E21" s="41" t="inlineStr">
        <is>
          <t>Data Science</t>
        </is>
      </c>
      <c r="F21" s="41" t="n"/>
      <c r="G21" s="42" t="inlineStr">
        <is>
          <t>N/A</t>
        </is>
      </c>
      <c r="H21" s="42" t="inlineStr">
        <is>
          <t>Rolling / Unspecified</t>
        </is>
      </c>
      <c r="I21" s="42" t="inlineStr">
        <is>
          <t>미제공 (포털직접)</t>
        </is>
      </c>
    </row>
    <row r="22" ht="20" customHeight="1">
      <c r="A22" s="38" t="n">
        <v>21</v>
      </c>
      <c r="B22" s="39" t="inlineStr">
        <is>
          <t>Tech &amp; Software / AI</t>
        </is>
      </c>
      <c r="C22" s="40" t="inlineStr">
        <is>
          <t>moloco</t>
        </is>
      </c>
      <c r="D22" s="41" t="inlineStr">
        <is>
          <t>Data Science Intern</t>
        </is>
      </c>
      <c r="E22" s="41" t="inlineStr">
        <is>
          <t>Data Science</t>
        </is>
      </c>
      <c r="F22" s="41" t="n"/>
      <c r="G22" s="42" t="inlineStr">
        <is>
          <t>N/A</t>
        </is>
      </c>
      <c r="H22" s="42" t="inlineStr">
        <is>
          <t>Rolling / Unspecified</t>
        </is>
      </c>
      <c r="I22" s="42" t="inlineStr">
        <is>
          <t>미제공 (포털직접)</t>
        </is>
      </c>
    </row>
    <row r="23" ht="20" customHeight="1">
      <c r="A23" s="38" t="n">
        <v>22</v>
      </c>
      <c r="B23" s="39" t="inlineStr">
        <is>
          <t>Tech &amp; Software / AI</t>
        </is>
      </c>
      <c r="C23" s="40" t="inlineStr">
        <is>
          <t>runna</t>
        </is>
      </c>
      <c r="D23" s="41" t="inlineStr">
        <is>
          <t>Data Engineer Intern</t>
        </is>
      </c>
      <c r="E23" s="41" t="inlineStr">
        <is>
          <t>Data Science</t>
        </is>
      </c>
      <c r="F23" s="41" t="n"/>
      <c r="G23" s="42" t="inlineStr">
        <is>
          <t>N/A</t>
        </is>
      </c>
      <c r="H23" s="42" t="inlineStr">
        <is>
          <t>Rolling / Unspecified</t>
        </is>
      </c>
      <c r="I23" s="42" t="inlineStr">
        <is>
          <t>미제공 (포털직접)</t>
        </is>
      </c>
    </row>
    <row r="24" ht="20" customHeight="1">
      <c r="A24" s="38" t="n">
        <v>23</v>
      </c>
      <c r="B24" s="39" t="inlineStr">
        <is>
          <t>Tech &amp; Software / AI</t>
        </is>
      </c>
      <c r="C24" s="40" t="inlineStr">
        <is>
          <t>treefera</t>
        </is>
      </c>
      <c r="D24" s="41" t="inlineStr">
        <is>
          <t>Treefera Internship Programme</t>
        </is>
      </c>
      <c r="E24" s="41" t="inlineStr">
        <is>
          <t>AI and Machine Learning</t>
        </is>
      </c>
      <c r="F24" s="41" t="n"/>
      <c r="G24" s="42" t="inlineStr">
        <is>
          <t>N/A</t>
        </is>
      </c>
      <c r="H24" s="42" t="inlineStr">
        <is>
          <t>Rolling / Unspecified</t>
        </is>
      </c>
      <c r="I24" s="42" t="inlineStr">
        <is>
          <t>미제공 (포털직접)</t>
        </is>
      </c>
    </row>
    <row r="25" ht="20" customHeight="1">
      <c r="A25" s="38" t="n">
        <v>24</v>
      </c>
      <c r="B25" s="39" t="inlineStr">
        <is>
          <t>Tech &amp; Software / AI</t>
        </is>
      </c>
      <c r="C25" s="40" t="inlineStr">
        <is>
          <t>tradeweb</t>
        </is>
      </c>
      <c r="D25" s="41" t="inlineStr">
        <is>
          <t>Summer 2027 AI Engineering Internship</t>
        </is>
      </c>
      <c r="E25" s="41" t="inlineStr">
        <is>
          <t>AI and Machine Learning</t>
        </is>
      </c>
      <c r="F25" s="41" t="n"/>
      <c r="G25" s="42" t="inlineStr">
        <is>
          <t>N/A</t>
        </is>
      </c>
      <c r="H25" s="42" t="inlineStr">
        <is>
          <t>Rolling / Unspecified</t>
        </is>
      </c>
      <c r="I25" s="43" t="inlineStr">
        <is>
          <t>지원 링크 ↗</t>
        </is>
      </c>
    </row>
    <row r="26" ht="20" customHeight="1">
      <c r="A26" s="38" t="n">
        <v>25</v>
      </c>
      <c r="B26" s="39" t="inlineStr">
        <is>
          <t>Tech &amp; Software / AI</t>
        </is>
      </c>
      <c r="C26" s="40" t="inlineStr">
        <is>
          <t>fair-football-ai</t>
        </is>
      </c>
      <c r="D26" s="41" t="inlineStr">
        <is>
          <t>AI Football Analyst Intern</t>
        </is>
      </c>
      <c r="E26" s="41" t="inlineStr">
        <is>
          <t>AI and Machine Learning</t>
        </is>
      </c>
      <c r="F26" s="41" t="n"/>
      <c r="G26" s="42" t="inlineStr">
        <is>
          <t>N/A</t>
        </is>
      </c>
      <c r="H26" s="42" t="inlineStr">
        <is>
          <t>Rolling / Unspecified</t>
        </is>
      </c>
      <c r="I26" s="42" t="inlineStr">
        <is>
          <t>미제공 (포털직접)</t>
        </is>
      </c>
    </row>
    <row r="27" ht="20" customHeight="1">
      <c r="A27" s="38" t="n">
        <v>26</v>
      </c>
      <c r="B27" s="39" t="inlineStr">
        <is>
          <t>Tech &amp; Software / AI</t>
        </is>
      </c>
      <c r="C27" s="40" t="inlineStr">
        <is>
          <t>quilter-cheviot</t>
        </is>
      </c>
      <c r="D27" s="41" t="inlineStr">
        <is>
          <t>Early Careers Programme - AI Summer Internship</t>
        </is>
      </c>
      <c r="E27" s="41" t="inlineStr">
        <is>
          <t>AI and Machine Learning</t>
        </is>
      </c>
      <c r="F27" s="41" t="n"/>
      <c r="G27" s="42" t="inlineStr">
        <is>
          <t>N/A</t>
        </is>
      </c>
      <c r="H27" s="42" t="inlineStr">
        <is>
          <t>Rolling / Unspecified</t>
        </is>
      </c>
      <c r="I27" s="42" t="inlineStr">
        <is>
          <t>미제공 (포털직접)</t>
        </is>
      </c>
    </row>
    <row r="28" ht="20" customHeight="1">
      <c r="A28" s="38" t="n">
        <v>27</v>
      </c>
      <c r="B28" s="39" t="inlineStr">
        <is>
          <t>Tech &amp; Software / AI</t>
        </is>
      </c>
      <c r="C28" s="40" t="inlineStr">
        <is>
          <t>allianz-insurance</t>
        </is>
      </c>
      <c r="D28" s="41" t="inlineStr">
        <is>
          <t>Summer Intern 2027</t>
        </is>
      </c>
      <c r="E28" s="41" t="inlineStr">
        <is>
          <t>Data Science</t>
        </is>
      </c>
      <c r="F28" s="41" t="n"/>
      <c r="G28" s="42" t="inlineStr">
        <is>
          <t>N/A</t>
        </is>
      </c>
      <c r="H28" s="42" t="inlineStr">
        <is>
          <t>Rolling / Unspecified</t>
        </is>
      </c>
      <c r="I28" s="42" t="inlineStr">
        <is>
          <t>미제공 (포털직접)</t>
        </is>
      </c>
    </row>
    <row r="29" ht="20" customHeight="1">
      <c r="A29" s="38" t="n">
        <v>28</v>
      </c>
      <c r="B29" s="39" t="inlineStr">
        <is>
          <t>Tech &amp; Software / AI</t>
        </is>
      </c>
      <c r="C29" s="40" t="inlineStr">
        <is>
          <t>ithaca-energy</t>
        </is>
      </c>
      <c r="D29" s="41" t="inlineStr">
        <is>
          <t>Data Science Intern</t>
        </is>
      </c>
      <c r="E29" s="41" t="inlineStr">
        <is>
          <t>Data Science</t>
        </is>
      </c>
      <c r="F29" s="41" t="n"/>
      <c r="G29" s="42" t="inlineStr">
        <is>
          <t>N/A</t>
        </is>
      </c>
      <c r="H29" s="42" t="inlineStr">
        <is>
          <t>Rolling / Unspecified</t>
        </is>
      </c>
      <c r="I29" s="42" t="inlineStr">
        <is>
          <t>미제공 (포털직접)</t>
        </is>
      </c>
    </row>
    <row r="30" ht="20" customHeight="1">
      <c r="A30" s="38" t="n">
        <v>29</v>
      </c>
      <c r="B30" s="39" t="inlineStr">
        <is>
          <t>Tech &amp; Software / AI</t>
        </is>
      </c>
      <c r="C30" s="40" t="inlineStr">
        <is>
          <t>aries-global</t>
        </is>
      </c>
      <c r="D30" s="41" t="inlineStr">
        <is>
          <t>Data Intern</t>
        </is>
      </c>
      <c r="E30" s="41" t="inlineStr">
        <is>
          <t>Data Science</t>
        </is>
      </c>
      <c r="F30" s="41" t="n"/>
      <c r="G30" s="42" t="inlineStr">
        <is>
          <t>N/A</t>
        </is>
      </c>
      <c r="H30" s="42" t="inlineStr">
        <is>
          <t>Rolling / Unspecified</t>
        </is>
      </c>
      <c r="I30" s="42" t="inlineStr">
        <is>
          <t>미제공 (포털직접)</t>
        </is>
      </c>
    </row>
    <row r="31" ht="20" customHeight="1">
      <c r="A31" s="38" t="n">
        <v>30</v>
      </c>
      <c r="B31" s="39" t="inlineStr">
        <is>
          <t>Tech &amp; Software / AI</t>
        </is>
      </c>
      <c r="C31" s="40" t="inlineStr">
        <is>
          <t>climate-policy-initiative</t>
        </is>
      </c>
      <c r="D31" s="41" t="inlineStr">
        <is>
          <t>Data Science Intern</t>
        </is>
      </c>
      <c r="E31" s="41" t="inlineStr">
        <is>
          <t>Data Science</t>
        </is>
      </c>
      <c r="F31" s="41" t="n"/>
      <c r="G31" s="42" t="inlineStr">
        <is>
          <t>N/A</t>
        </is>
      </c>
      <c r="H31" s="42" t="inlineStr">
        <is>
          <t>Rolling / Unspecified</t>
        </is>
      </c>
      <c r="I31" s="42" t="inlineStr">
        <is>
          <t>미제공 (포털직접)</t>
        </is>
      </c>
    </row>
    <row r="32" ht="20" customHeight="1">
      <c r="A32" s="38" t="n">
        <v>31</v>
      </c>
      <c r="B32" s="39" t="inlineStr">
        <is>
          <t>Tech &amp; Software / AI</t>
        </is>
      </c>
      <c r="C32" s="40" t="inlineStr">
        <is>
          <t>quantum-dice</t>
        </is>
      </c>
      <c r="D32" s="41" t="inlineStr">
        <is>
          <t>Summer Internship Programme</t>
        </is>
      </c>
      <c r="E32" s="41" t="inlineStr">
        <is>
          <t>AI and Machine Learning</t>
        </is>
      </c>
      <c r="F32" s="41" t="n"/>
      <c r="G32" s="42" t="inlineStr">
        <is>
          <t>N/A</t>
        </is>
      </c>
      <c r="H32" s="42" t="inlineStr">
        <is>
          <t>Rolling / Unspecified</t>
        </is>
      </c>
      <c r="I32" s="42" t="inlineStr">
        <is>
          <t>미제공 (포털직접)</t>
        </is>
      </c>
    </row>
    <row r="33" ht="20" customHeight="1">
      <c r="A33" s="38" t="n">
        <v>32</v>
      </c>
      <c r="B33" s="39" t="inlineStr">
        <is>
          <t>Tech &amp; Software / AI</t>
        </is>
      </c>
      <c r="C33" s="40" t="inlineStr">
        <is>
          <t>oaknorth</t>
        </is>
      </c>
      <c r="D33" s="41" t="inlineStr">
        <is>
          <t>AI Innovation Intern</t>
        </is>
      </c>
      <c r="E33" s="41" t="inlineStr">
        <is>
          <t>AI and Machine Learning</t>
        </is>
      </c>
      <c r="F33" s="41" t="n"/>
      <c r="G33" s="42" t="inlineStr">
        <is>
          <t>N/A</t>
        </is>
      </c>
      <c r="H33" s="42" t="inlineStr">
        <is>
          <t>Rolling / Unspecified</t>
        </is>
      </c>
      <c r="I33" s="42" t="inlineStr">
        <is>
          <t>미제공 (포털직접)</t>
        </is>
      </c>
    </row>
    <row r="34" ht="20" customHeight="1">
      <c r="A34" s="38" t="n">
        <v>33</v>
      </c>
      <c r="B34" s="39" t="inlineStr">
        <is>
          <t>Tech &amp; Software / AI</t>
        </is>
      </c>
      <c r="C34" s="40" t="inlineStr">
        <is>
          <t>nasdaq</t>
        </is>
      </c>
      <c r="D34" s="41" t="inlineStr">
        <is>
          <t>Data Science Intern</t>
        </is>
      </c>
      <c r="E34" s="41" t="inlineStr">
        <is>
          <t>Data Science</t>
        </is>
      </c>
      <c r="F34" s="41" t="n"/>
      <c r="G34" s="42" t="inlineStr">
        <is>
          <t>N/A</t>
        </is>
      </c>
      <c r="H34" s="42" t="inlineStr">
        <is>
          <t>Rolling / Unspecified</t>
        </is>
      </c>
      <c r="I34" s="42" t="inlineStr">
        <is>
          <t>미제공 (포털직접)</t>
        </is>
      </c>
    </row>
    <row r="35" ht="20" customHeight="1">
      <c r="A35" s="38" t="n">
        <v>34</v>
      </c>
      <c r="B35" s="39" t="inlineStr">
        <is>
          <t>Tech &amp; Software / AI</t>
        </is>
      </c>
      <c r="C35" s="40" t="inlineStr">
        <is>
          <t>moloco</t>
        </is>
      </c>
      <c r="D35" s="41" t="inlineStr">
        <is>
          <t>Machine Learning Engineer Intern</t>
        </is>
      </c>
      <c r="E35" s="41" t="inlineStr">
        <is>
          <t>AI and Machine Learning</t>
        </is>
      </c>
      <c r="F35" s="41" t="n"/>
      <c r="G35" s="42" t="inlineStr">
        <is>
          <t>N/A</t>
        </is>
      </c>
      <c r="H35" s="42" t="inlineStr">
        <is>
          <t>Rolling / Unspecified</t>
        </is>
      </c>
      <c r="I35" s="42" t="inlineStr">
        <is>
          <t>미제공 (포털직접)</t>
        </is>
      </c>
    </row>
    <row r="36" ht="20" customHeight="1">
      <c r="A36" s="38" t="n">
        <v>35</v>
      </c>
      <c r="B36" s="39" t="inlineStr">
        <is>
          <t>Tech &amp; Software / AI</t>
        </is>
      </c>
      <c r="C36" s="40" t="inlineStr">
        <is>
          <t>astrazeneca</t>
        </is>
      </c>
      <c r="D36" s="41" t="inlineStr">
        <is>
          <t>Digital &amp; Data Internship</t>
        </is>
      </c>
      <c r="E36" s="41" t="inlineStr">
        <is>
          <t>Data Science</t>
        </is>
      </c>
      <c r="F36" s="41" t="n"/>
      <c r="G36" s="42" t="inlineStr">
        <is>
          <t>N/A</t>
        </is>
      </c>
      <c r="H36" s="42" t="inlineStr">
        <is>
          <t>Rolling / Unspecified</t>
        </is>
      </c>
      <c r="I36" s="42" t="inlineStr">
        <is>
          <t>미제공 (포털직접)</t>
        </is>
      </c>
    </row>
    <row r="37" ht="20" customHeight="1">
      <c r="A37" s="38" t="n">
        <v>36</v>
      </c>
      <c r="B37" s="39" t="inlineStr">
        <is>
          <t>Tech &amp; Software / AI</t>
        </is>
      </c>
      <c r="C37" s="40" t="inlineStr">
        <is>
          <t>frontier-economics</t>
        </is>
      </c>
      <c r="D37" s="41" t="inlineStr">
        <is>
          <t>2027 Junior Data Scientist Internship</t>
        </is>
      </c>
      <c r="E37" s="41" t="inlineStr">
        <is>
          <t>Data Science</t>
        </is>
      </c>
      <c r="F37" s="41" t="n"/>
      <c r="G37" s="42" t="inlineStr">
        <is>
          <t>N/A</t>
        </is>
      </c>
      <c r="H37" s="42" t="inlineStr">
        <is>
          <t>Rolling / Unspecified</t>
        </is>
      </c>
      <c r="I37" s="42" t="inlineStr">
        <is>
          <t>미제공 (포털직접)</t>
        </is>
      </c>
    </row>
    <row r="38" ht="20" customHeight="1">
      <c r="A38" s="38" t="n">
        <v>37</v>
      </c>
      <c r="B38" s="39" t="inlineStr">
        <is>
          <t>Tech &amp; Software / AI</t>
        </is>
      </c>
      <c r="C38" s="40" t="inlineStr">
        <is>
          <t>hacktron-ai</t>
        </is>
      </c>
      <c r="D38" s="41" t="inlineStr">
        <is>
          <t>Member of Technical Staff Intern</t>
        </is>
      </c>
      <c r="E38" s="41" t="inlineStr">
        <is>
          <t>Startups</t>
        </is>
      </c>
      <c r="F38" s="41" t="n"/>
      <c r="G38" s="42" t="inlineStr">
        <is>
          <t>N/A</t>
        </is>
      </c>
      <c r="H38" s="42" t="inlineStr">
        <is>
          <t>Rolling / Unspecified</t>
        </is>
      </c>
      <c r="I38" s="42" t="inlineStr">
        <is>
          <t>미제공 (포털직접)</t>
        </is>
      </c>
    </row>
    <row r="39" ht="20" customHeight="1">
      <c r="A39" s="38" t="n">
        <v>38</v>
      </c>
      <c r="B39" s="39" t="inlineStr">
        <is>
          <t>Tech &amp; Software / AI</t>
        </is>
      </c>
      <c r="C39" s="40" t="inlineStr">
        <is>
          <t>imc-trading</t>
        </is>
      </c>
      <c r="D39" s="41" t="inlineStr">
        <is>
          <t>Machine Learning Research Intern - Summer 2027</t>
        </is>
      </c>
      <c r="E39" s="41" t="inlineStr">
        <is>
          <t>AI and Machine Learning</t>
        </is>
      </c>
      <c r="F39" s="41" t="n"/>
      <c r="G39" s="42" t="inlineStr">
        <is>
          <t>N/A</t>
        </is>
      </c>
      <c r="H39" s="42" t="inlineStr">
        <is>
          <t>Rolling / Unspecified</t>
        </is>
      </c>
      <c r="I39" s="43" t="inlineStr">
        <is>
          <t>지원 링크 ↗</t>
        </is>
      </c>
    </row>
    <row r="40" ht="20" customHeight="1">
      <c r="A40" s="38" t="n">
        <v>39</v>
      </c>
      <c r="B40" s="39" t="inlineStr">
        <is>
          <t>Tech &amp; Software / AI</t>
        </is>
      </c>
      <c r="C40" s="40" t="inlineStr">
        <is>
          <t>man-group</t>
        </is>
      </c>
      <c r="D40" s="41" t="inlineStr">
        <is>
          <t>2027 Summer Technology Internship Programme</t>
        </is>
      </c>
      <c r="E40" s="41" t="inlineStr">
        <is>
          <t>Software Engineering, Data Science, DevOps and Infrastructure, Quant Developer</t>
        </is>
      </c>
      <c r="F40" s="41" t="n"/>
      <c r="G40" s="42" t="inlineStr">
        <is>
          <t>N/A</t>
        </is>
      </c>
      <c r="H40" s="42" t="inlineStr">
        <is>
          <t>2026-10-30T00:00:00.000Z</t>
        </is>
      </c>
      <c r="I40" s="43" t="inlineStr">
        <is>
          <t>지원 링크 ↗</t>
        </is>
      </c>
    </row>
    <row r="41" ht="20" customHeight="1">
      <c r="A41" s="38" t="n">
        <v>40</v>
      </c>
      <c r="B41" s="39" t="inlineStr">
        <is>
          <t>Tech &amp; Software / AI</t>
        </is>
      </c>
      <c r="C41" s="40" t="inlineStr">
        <is>
          <t>jane-street</t>
        </is>
      </c>
      <c r="D41" s="41" t="inlineStr">
        <is>
          <t>2027 Summer Internship</t>
        </is>
      </c>
      <c r="E41" s="41" t="inlineStr">
        <is>
          <t>Quant Developer, AI and Machine Learning, IT</t>
        </is>
      </c>
      <c r="F41" s="41" t="n"/>
      <c r="G41" s="42" t="inlineStr">
        <is>
          <t>N/A</t>
        </is>
      </c>
      <c r="H41" s="42" t="inlineStr">
        <is>
          <t>Rolling / Unspecified</t>
        </is>
      </c>
      <c r="I41" s="43" t="inlineStr">
        <is>
          <t>지원 링크 ↗</t>
        </is>
      </c>
    </row>
    <row r="42" ht="20" customHeight="1">
      <c r="A42" s="38" t="n">
        <v>41</v>
      </c>
      <c r="B42" s="39" t="inlineStr">
        <is>
          <t>Tech &amp; Software / AI</t>
        </is>
      </c>
      <c r="C42" s="40" t="inlineStr">
        <is>
          <t>multus</t>
        </is>
      </c>
      <c r="D42" s="41" t="inlineStr">
        <is>
          <t>Machine Learning/Software Engineer Intern</t>
        </is>
      </c>
      <c r="E42" s="41" t="inlineStr">
        <is>
          <t>AI and Machine Learning</t>
        </is>
      </c>
      <c r="F42" s="41" t="n"/>
      <c r="G42" s="42" t="inlineStr">
        <is>
          <t>N/A</t>
        </is>
      </c>
      <c r="H42" s="42" t="inlineStr">
        <is>
          <t>Rolling / Unspecified</t>
        </is>
      </c>
      <c r="I42" s="42" t="inlineStr">
        <is>
          <t>미제공 (포털직접)</t>
        </is>
      </c>
    </row>
    <row r="43" ht="20" customHeight="1">
      <c r="A43" s="38" t="n">
        <v>42</v>
      </c>
      <c r="B43" s="39" t="inlineStr">
        <is>
          <t>Tech &amp; Software / AI</t>
        </is>
      </c>
      <c r="C43" s="40" t="inlineStr">
        <is>
          <t>mewburn-ellis</t>
        </is>
      </c>
      <c r="D43" s="41" t="inlineStr">
        <is>
          <t>Summer Internship - Artificial Intelligence &amp; Machine Learning</t>
        </is>
      </c>
      <c r="E43" s="41" t="inlineStr">
        <is>
          <t>AI and Machine Learning</t>
        </is>
      </c>
      <c r="F43" s="41" t="n"/>
      <c r="G43" s="42" t="inlineStr">
        <is>
          <t>N/A</t>
        </is>
      </c>
      <c r="H43" s="42" t="inlineStr">
        <is>
          <t>Rolling / Unspecified</t>
        </is>
      </c>
      <c r="I43" s="42" t="inlineStr">
        <is>
          <t>미제공 (포털직접)</t>
        </is>
      </c>
    </row>
    <row r="44" ht="20" customHeight="1">
      <c r="A44" s="38" t="n">
        <v>43</v>
      </c>
      <c r="B44" s="39" t="inlineStr">
        <is>
          <t>Tech &amp; Software / AI</t>
        </is>
      </c>
      <c r="C44" s="40" t="inlineStr">
        <is>
          <t>american-express</t>
        </is>
      </c>
      <c r="D44" s="41" t="inlineStr">
        <is>
          <t>Internship Programme - Software Engineer - 2027</t>
        </is>
      </c>
      <c r="E44" s="41" t="inlineStr">
        <is>
          <t>Software Engineering, AI and Machine Learning, Cyber Security</t>
        </is>
      </c>
      <c r="F44" s="41" t="n"/>
      <c r="G44" s="42" t="inlineStr">
        <is>
          <t>N/A</t>
        </is>
      </c>
      <c r="H44" s="42" t="inlineStr">
        <is>
          <t>Rolling / Unspecified</t>
        </is>
      </c>
      <c r="I44" s="43" t="inlineStr">
        <is>
          <t>지원 링크 ↗</t>
        </is>
      </c>
    </row>
    <row r="45" ht="20" customHeight="1">
      <c r="A45" s="38" t="n">
        <v>44</v>
      </c>
      <c r="B45" s="39" t="inlineStr">
        <is>
          <t>Tech &amp; Software / AI</t>
        </is>
      </c>
      <c r="C45" s="40" t="inlineStr">
        <is>
          <t>parexel</t>
        </is>
      </c>
      <c r="D45" s="41" t="inlineStr">
        <is>
          <t xml:space="preserve">AI Summer Intern </t>
        </is>
      </c>
      <c r="E45" s="41" t="inlineStr">
        <is>
          <t>AI and Machine Learning</t>
        </is>
      </c>
      <c r="F45" s="41" t="n"/>
      <c r="G45" s="42" t="inlineStr">
        <is>
          <t>N/A</t>
        </is>
      </c>
      <c r="H45" s="42" t="inlineStr">
        <is>
          <t>Rolling / Unspecified</t>
        </is>
      </c>
      <c r="I45" s="42" t="inlineStr">
        <is>
          <t>미제공 (포털직접)</t>
        </is>
      </c>
    </row>
    <row r="46" ht="20" customHeight="1">
      <c r="A46" s="38" t="n">
        <v>45</v>
      </c>
      <c r="B46" s="39" t="inlineStr">
        <is>
          <t>Tech &amp; Software / AI</t>
        </is>
      </c>
      <c r="C46" s="40" t="inlineStr">
        <is>
          <t>dow-jones</t>
        </is>
      </c>
      <c r="D46" s="41" t="inlineStr">
        <is>
          <t>Summer 2027 Internship – Data Analyst Intern</t>
        </is>
      </c>
      <c r="E46" s="41" t="inlineStr">
        <is>
          <t>Data Science</t>
        </is>
      </c>
      <c r="F46" s="41" t="n"/>
      <c r="G46" s="42" t="inlineStr">
        <is>
          <t>N/A</t>
        </is>
      </c>
      <c r="H46" s="42" t="inlineStr">
        <is>
          <t>Rolling / Unspecified</t>
        </is>
      </c>
      <c r="I46" s="42" t="inlineStr">
        <is>
          <t>미제공 (포털직접)</t>
        </is>
      </c>
    </row>
    <row r="47" ht="20" customHeight="1">
      <c r="A47" s="38" t="n">
        <v>46</v>
      </c>
      <c r="B47" s="39" t="inlineStr">
        <is>
          <t>Tech &amp; Software / AI</t>
        </is>
      </c>
      <c r="C47" s="40" t="inlineStr">
        <is>
          <t>tencent</t>
        </is>
      </c>
      <c r="D47" s="41" t="inlineStr">
        <is>
          <t>Data Science Intern</t>
        </is>
      </c>
      <c r="E47" s="41" t="inlineStr">
        <is>
          <t>Data Science</t>
        </is>
      </c>
      <c r="F47" s="41" t="n"/>
      <c r="G47" s="42" t="inlineStr">
        <is>
          <t>N/A</t>
        </is>
      </c>
      <c r="H47" s="42" t="inlineStr">
        <is>
          <t>Rolling / Unspecified</t>
        </is>
      </c>
      <c r="I47" s="42" t="inlineStr">
        <is>
          <t>미제공 (포털직접)</t>
        </is>
      </c>
    </row>
    <row r="48" ht="20" customHeight="1">
      <c r="A48" s="38" t="n">
        <v>47</v>
      </c>
      <c r="B48" s="39" t="inlineStr">
        <is>
          <t>Tech &amp; Software / AI</t>
        </is>
      </c>
      <c r="C48" s="40" t="inlineStr">
        <is>
          <t>ey</t>
        </is>
      </c>
      <c r="D48" s="41" t="inlineStr">
        <is>
          <t>Technology Summer Internship - 2027</t>
        </is>
      </c>
      <c r="E48" s="41" t="inlineStr">
        <is>
          <t>Tech Consulting</t>
        </is>
      </c>
      <c r="F48" s="41" t="n"/>
      <c r="G48" s="42" t="inlineStr">
        <is>
          <t>N/A</t>
        </is>
      </c>
      <c r="H48" s="42" t="inlineStr">
        <is>
          <t>Rolling / Unspecified</t>
        </is>
      </c>
      <c r="I48" s="42" t="inlineStr">
        <is>
          <t>미제공 (포털직접)</t>
        </is>
      </c>
    </row>
    <row r="49" ht="20" customHeight="1">
      <c r="A49" s="38" t="n">
        <v>48</v>
      </c>
      <c r="B49" s="39" t="inlineStr">
        <is>
          <t>Tech &amp; Software / AI</t>
        </is>
      </c>
      <c r="C49" s="40" t="inlineStr">
        <is>
          <t>deloitte</t>
        </is>
      </c>
      <c r="D49" s="41" t="inlineStr">
        <is>
          <t>Summer Vacation Scheme</t>
        </is>
      </c>
      <c r="E49" s="41" t="inlineStr">
        <is>
          <t>Data Science</t>
        </is>
      </c>
      <c r="F49" s="41" t="n"/>
      <c r="G49" s="42" t="inlineStr">
        <is>
          <t>N/A</t>
        </is>
      </c>
      <c r="H49" s="42" t="inlineStr">
        <is>
          <t>Rolling / Unspecified</t>
        </is>
      </c>
      <c r="I49" s="42" t="inlineStr">
        <is>
          <t>미제공 (포털직접)</t>
        </is>
      </c>
    </row>
    <row r="50" ht="20" customHeight="1">
      <c r="A50" s="38" t="n">
        <v>49</v>
      </c>
      <c r="B50" s="39" t="inlineStr">
        <is>
          <t>Tech &amp; Software / AI</t>
        </is>
      </c>
      <c r="C50" s="40" t="inlineStr">
        <is>
          <t>bain-company</t>
        </is>
      </c>
      <c r="D50" s="41" t="inlineStr">
        <is>
          <t>AI Engineering, Intern</t>
        </is>
      </c>
      <c r="E50" s="41" t="inlineStr">
        <is>
          <t>AI and Machine Learning</t>
        </is>
      </c>
      <c r="F50" s="41" t="n"/>
      <c r="G50" s="42" t="inlineStr">
        <is>
          <t>N/A</t>
        </is>
      </c>
      <c r="H50" s="42" t="inlineStr">
        <is>
          <t>Rolling / Unspecified</t>
        </is>
      </c>
      <c r="I50" s="43" t="inlineStr">
        <is>
          <t>지원 링크 ↗</t>
        </is>
      </c>
    </row>
    <row r="51" ht="20" customHeight="1">
      <c r="A51" s="38" t="n">
        <v>50</v>
      </c>
      <c r="B51" s="39" t="inlineStr">
        <is>
          <t>Tech &amp; Software / AI</t>
        </is>
      </c>
      <c r="C51" s="40" t="inlineStr">
        <is>
          <t>brevan-howard</t>
        </is>
      </c>
      <c r="D51" s="41" t="inlineStr">
        <is>
          <t>2027 Summer Internship – Systematic Data Engineering</t>
        </is>
      </c>
      <c r="E51" s="41" t="inlineStr">
        <is>
          <t>Data Science</t>
        </is>
      </c>
      <c r="F51" s="41" t="n"/>
      <c r="G51" s="42" t="inlineStr">
        <is>
          <t>N/A</t>
        </is>
      </c>
      <c r="H51" s="42" t="inlineStr">
        <is>
          <t>Rolling / Unspecified</t>
        </is>
      </c>
      <c r="I51" s="42" t="inlineStr">
        <is>
          <t>미제공 (포털직접)</t>
        </is>
      </c>
    </row>
    <row r="52" ht="20" customHeight="1">
      <c r="A52" s="38" t="n">
        <v>51</v>
      </c>
      <c r="B52" s="39" t="inlineStr">
        <is>
          <t>Tech &amp; Software / AI</t>
        </is>
      </c>
      <c r="C52" s="40" t="inlineStr">
        <is>
          <t>ttp</t>
        </is>
      </c>
      <c r="D52" s="41" t="inlineStr">
        <is>
          <t>Summer Internship - Software Engineering Consultant - 2027</t>
        </is>
      </c>
      <c r="E52" s="41" t="inlineStr">
        <is>
          <t>Tech Consulting</t>
        </is>
      </c>
      <c r="F52" s="41" t="n"/>
      <c r="G52" s="42" t="inlineStr">
        <is>
          <t>N/A</t>
        </is>
      </c>
      <c r="H52" s="42" t="inlineStr">
        <is>
          <t>Rolling / Unspecified</t>
        </is>
      </c>
      <c r="I52" s="43" t="inlineStr">
        <is>
          <t>지원 링크 ↗</t>
        </is>
      </c>
    </row>
    <row r="53" ht="20" customHeight="1">
      <c r="A53" s="38" t="n">
        <v>52</v>
      </c>
      <c r="B53" s="39" t="inlineStr">
        <is>
          <t>Tech &amp; Software / AI</t>
        </is>
      </c>
      <c r="C53" s="40" t="inlineStr">
        <is>
          <t>oxford-nanopore-technologies</t>
        </is>
      </c>
      <c r="D53" s="41" t="inlineStr">
        <is>
          <t>Machine Learning Intern</t>
        </is>
      </c>
      <c r="E53" s="41" t="inlineStr">
        <is>
          <t>AI and Machine Learning</t>
        </is>
      </c>
      <c r="F53" s="41" t="n"/>
      <c r="G53" s="42" t="inlineStr">
        <is>
          <t>N/A</t>
        </is>
      </c>
      <c r="H53" s="42" t="inlineStr">
        <is>
          <t>Rolling / Unspecified</t>
        </is>
      </c>
      <c r="I53" s="42" t="inlineStr">
        <is>
          <t>미제공 (포털직접)</t>
        </is>
      </c>
    </row>
    <row r="54" ht="20" customHeight="1">
      <c r="A54" s="38" t="n">
        <v>53</v>
      </c>
      <c r="B54" s="39" t="inlineStr">
        <is>
          <t>Tech &amp; Software / AI</t>
        </is>
      </c>
      <c r="C54" s="40" t="inlineStr">
        <is>
          <t>bristol-myers-squibb</t>
        </is>
      </c>
      <c r="D54" s="41" t="inlineStr">
        <is>
          <t>Intern, Statistical Programming</t>
        </is>
      </c>
      <c r="E54" s="41" t="inlineStr">
        <is>
          <t>Data Science</t>
        </is>
      </c>
      <c r="F54" s="41" t="n"/>
      <c r="G54" s="42" t="inlineStr">
        <is>
          <t>N/A</t>
        </is>
      </c>
      <c r="H54" s="42" t="inlineStr">
        <is>
          <t>Rolling / Unspecified</t>
        </is>
      </c>
      <c r="I54" s="42" t="inlineStr">
        <is>
          <t>미제공 (포털직접)</t>
        </is>
      </c>
    </row>
    <row r="55" ht="20" customHeight="1">
      <c r="A55" s="38" t="n">
        <v>54</v>
      </c>
      <c r="B55" s="39" t="inlineStr">
        <is>
          <t>Tech &amp; Software / AI</t>
        </is>
      </c>
      <c r="C55" s="40" t="inlineStr">
        <is>
          <t>nannie</t>
        </is>
      </c>
      <c r="D55" s="41" t="inlineStr">
        <is>
          <t>AI Startup Internship</t>
        </is>
      </c>
      <c r="E55" s="41" t="inlineStr">
        <is>
          <t>Startups</t>
        </is>
      </c>
      <c r="F55" s="41" t="n"/>
      <c r="G55" s="42" t="inlineStr">
        <is>
          <t>N/A</t>
        </is>
      </c>
      <c r="H55" s="42" t="inlineStr">
        <is>
          <t>Rolling / Unspecified</t>
        </is>
      </c>
      <c r="I55" s="42" t="inlineStr">
        <is>
          <t>미제공 (포털직접)</t>
        </is>
      </c>
    </row>
    <row r="56" ht="20" customHeight="1">
      <c r="A56" s="38" t="n">
        <v>55</v>
      </c>
      <c r="B56" s="39" t="inlineStr">
        <is>
          <t>Tech &amp; Software / AI</t>
        </is>
      </c>
      <c r="C56" s="40" t="inlineStr">
        <is>
          <t>unlikelyai</t>
        </is>
      </c>
      <c r="D56" s="41" t="inlineStr">
        <is>
          <t>Machine Learning Engineer Intern</t>
        </is>
      </c>
      <c r="E56" s="41" t="inlineStr">
        <is>
          <t>AI and Machine Learning</t>
        </is>
      </c>
      <c r="F56" s="41" t="n"/>
      <c r="G56" s="42" t="inlineStr">
        <is>
          <t>N/A</t>
        </is>
      </c>
      <c r="H56" s="42" t="inlineStr">
        <is>
          <t>Rolling / Unspecified</t>
        </is>
      </c>
      <c r="I56" s="42" t="inlineStr">
        <is>
          <t>미제공 (포털직접)</t>
        </is>
      </c>
    </row>
    <row r="57" ht="20" customHeight="1">
      <c r="A57" s="38" t="n">
        <v>56</v>
      </c>
      <c r="B57" s="39" t="inlineStr">
        <is>
          <t>Tech &amp; Software / AI</t>
        </is>
      </c>
      <c r="C57" s="40" t="inlineStr">
        <is>
          <t>bose</t>
        </is>
      </c>
      <c r="D57" s="41" t="inlineStr">
        <is>
          <t>Audio Machine Learning Intern</t>
        </is>
      </c>
      <c r="E57" s="41" t="inlineStr">
        <is>
          <t>AI and Machine Learning</t>
        </is>
      </c>
      <c r="F57" s="41" t="n"/>
      <c r="G57" s="42" t="inlineStr">
        <is>
          <t>N/A</t>
        </is>
      </c>
      <c r="H57" s="42" t="inlineStr">
        <is>
          <t>Rolling / Unspecified</t>
        </is>
      </c>
      <c r="I57" s="42" t="inlineStr">
        <is>
          <t>미제공 (포털직접)</t>
        </is>
      </c>
    </row>
    <row r="58" ht="20" customHeight="1">
      <c r="A58" s="38" t="n">
        <v>57</v>
      </c>
      <c r="B58" s="39" t="inlineStr">
        <is>
          <t>Tech &amp; Software / AI</t>
        </is>
      </c>
      <c r="C58" s="40" t="inlineStr">
        <is>
          <t>cboe-global-markets</t>
        </is>
      </c>
      <c r="D58" s="41" t="inlineStr">
        <is>
          <t>Intern - DPE (Data Pipeline Engineering)</t>
        </is>
      </c>
      <c r="E58" s="41" t="inlineStr">
        <is>
          <t>Data Science</t>
        </is>
      </c>
      <c r="F58" s="41" t="n"/>
      <c r="G58" s="42" t="inlineStr">
        <is>
          <t>N/A</t>
        </is>
      </c>
      <c r="H58" s="42" t="inlineStr">
        <is>
          <t>Rolling / Unspecified</t>
        </is>
      </c>
      <c r="I58" s="42" t="inlineStr">
        <is>
          <t>미제공 (포털직접)</t>
        </is>
      </c>
    </row>
    <row r="59" ht="20" customHeight="1">
      <c r="A59" s="38" t="n">
        <v>58</v>
      </c>
      <c r="B59" s="39" t="inlineStr">
        <is>
          <t>Tech &amp; Software / AI</t>
        </is>
      </c>
      <c r="C59" s="40" t="inlineStr">
        <is>
          <t>bose</t>
        </is>
      </c>
      <c r="D59" s="41" t="inlineStr">
        <is>
          <t>Audio Machine Learning Research Intern</t>
        </is>
      </c>
      <c r="E59" s="41" t="inlineStr">
        <is>
          <t>AI and Machine Learning</t>
        </is>
      </c>
      <c r="F59" s="41" t="n"/>
      <c r="G59" s="42" t="inlineStr">
        <is>
          <t>N/A</t>
        </is>
      </c>
      <c r="H59" s="42" t="inlineStr">
        <is>
          <t>Rolling / Unspecified</t>
        </is>
      </c>
      <c r="I59" s="42" t="inlineStr">
        <is>
          <t>미제공 (포털직접)</t>
        </is>
      </c>
    </row>
    <row r="60" ht="20" customHeight="1">
      <c r="A60" s="38" t="n">
        <v>59</v>
      </c>
      <c r="B60" s="39" t="inlineStr">
        <is>
          <t>Tech &amp; Software / AI</t>
        </is>
      </c>
      <c r="C60" s="40" t="inlineStr">
        <is>
          <t>axa</t>
        </is>
      </c>
      <c r="D60" s="41" t="inlineStr">
        <is>
          <t>Intern (IDA - Data Science and AI)</t>
        </is>
      </c>
      <c r="E60" s="41" t="inlineStr">
        <is>
          <t>Data Science</t>
        </is>
      </c>
      <c r="F60" s="41" t="n"/>
      <c r="G60" s="42" t="inlineStr">
        <is>
          <t>N/A</t>
        </is>
      </c>
      <c r="H60" s="42" t="inlineStr">
        <is>
          <t>Rolling / Unspecified</t>
        </is>
      </c>
      <c r="I60" s="42" t="inlineStr">
        <is>
          <t>미제공 (포털직접)</t>
        </is>
      </c>
    </row>
    <row r="61" ht="20" customHeight="1">
      <c r="A61" s="38" t="n">
        <v>60</v>
      </c>
      <c r="B61" s="39" t="inlineStr">
        <is>
          <t>Tech &amp; Software / AI</t>
        </is>
      </c>
      <c r="C61" s="40" t="inlineStr">
        <is>
          <t>binome</t>
        </is>
      </c>
      <c r="D61" s="41" t="inlineStr">
        <is>
          <t>AI Engineer Intern</t>
        </is>
      </c>
      <c r="E61" s="41" t="inlineStr">
        <is>
          <t>Startups</t>
        </is>
      </c>
      <c r="F61" s="41" t="n"/>
      <c r="G61" s="42" t="inlineStr">
        <is>
          <t>N/A</t>
        </is>
      </c>
      <c r="H61" s="42" t="inlineStr">
        <is>
          <t>Rolling / Unspecified</t>
        </is>
      </c>
      <c r="I61" s="42" t="inlineStr">
        <is>
          <t>미제공 (포털직접)</t>
        </is>
      </c>
    </row>
    <row r="62" ht="20" customHeight="1">
      <c r="A62" s="38" t="n">
        <v>61</v>
      </c>
      <c r="B62" s="39" t="inlineStr">
        <is>
          <t>Tech &amp; Software / AI</t>
        </is>
      </c>
      <c r="C62" s="40" t="inlineStr">
        <is>
          <t>ciena</t>
        </is>
      </c>
      <c r="D62" s="41" t="inlineStr">
        <is>
          <t>Data Science/Analyst Intern</t>
        </is>
      </c>
      <c r="E62" s="41" t="inlineStr">
        <is>
          <t>Data Science</t>
        </is>
      </c>
      <c r="F62" s="41" t="n"/>
      <c r="G62" s="42" t="inlineStr">
        <is>
          <t>N/A</t>
        </is>
      </c>
      <c r="H62" s="42" t="inlineStr">
        <is>
          <t>Rolling / Unspecified</t>
        </is>
      </c>
      <c r="I62" s="42" t="inlineStr">
        <is>
          <t>미제공 (포털직접)</t>
        </is>
      </c>
    </row>
    <row r="63" ht="20" customHeight="1">
      <c r="A63" s="38" t="n">
        <v>62</v>
      </c>
      <c r="B63" s="39" t="inlineStr">
        <is>
          <t>Tech &amp; Software / AI</t>
        </is>
      </c>
      <c r="C63" s="40" t="inlineStr">
        <is>
          <t>marshall-wace</t>
        </is>
      </c>
      <c r="D63" s="41" t="inlineStr">
        <is>
          <t>Technology Intern - 2027</t>
        </is>
      </c>
      <c r="E63" s="41" t="inlineStr">
        <is>
          <t>Software Engineering, Cyber Security, Data Science, DevOps and Infrastructure</t>
        </is>
      </c>
      <c r="F63" s="41" t="n"/>
      <c r="G63" s="42" t="inlineStr">
        <is>
          <t>N/A</t>
        </is>
      </c>
      <c r="H63" s="42" t="inlineStr">
        <is>
          <t>Rolling / Unspecified</t>
        </is>
      </c>
      <c r="I63" s="43" t="inlineStr">
        <is>
          <t>지원 링크 ↗</t>
        </is>
      </c>
    </row>
    <row r="64" ht="20" customHeight="1">
      <c r="A64" s="38" t="n">
        <v>63</v>
      </c>
      <c r="B64" s="39" t="inlineStr">
        <is>
          <t>Tech &amp; Software / AI</t>
        </is>
      </c>
      <c r="C64" s="40" t="inlineStr">
        <is>
          <t>pa-consulting</t>
        </is>
      </c>
      <c r="D64" s="41" t="inlineStr">
        <is>
          <t>2027 Summer Internship - Software &amp; Controls Engineer</t>
        </is>
      </c>
      <c r="E64" s="41" t="inlineStr">
        <is>
          <t>Tech Consulting</t>
        </is>
      </c>
      <c r="F64" s="41" t="n"/>
      <c r="G64" s="42" t="inlineStr">
        <is>
          <t>N/A</t>
        </is>
      </c>
      <c r="H64" s="42" t="inlineStr">
        <is>
          <t>Rolling / Unspecified</t>
        </is>
      </c>
      <c r="I64" s="42" t="inlineStr">
        <is>
          <t>미제공 (포털직접)</t>
        </is>
      </c>
    </row>
    <row r="65" ht="20" customHeight="1">
      <c r="A65" s="38" t="n">
        <v>64</v>
      </c>
      <c r="B65" s="39" t="inlineStr">
        <is>
          <t>Tech &amp; Software / AI</t>
        </is>
      </c>
      <c r="C65" s="40" t="inlineStr">
        <is>
          <t>incident-io</t>
        </is>
      </c>
      <c r="D65" s="41" t="inlineStr">
        <is>
          <t>Product Engineer Summer Internship</t>
        </is>
      </c>
      <c r="E65" s="41" t="inlineStr">
        <is>
          <t>Startups</t>
        </is>
      </c>
      <c r="F65" s="41" t="n"/>
      <c r="G65" s="42" t="inlineStr">
        <is>
          <t>N/A</t>
        </is>
      </c>
      <c r="H65" s="42" t="inlineStr">
        <is>
          <t>Rolling / Unspecified</t>
        </is>
      </c>
      <c r="I65" s="42" t="inlineStr">
        <is>
          <t>미제공 (포털직접)</t>
        </is>
      </c>
    </row>
    <row r="66" ht="20" customHeight="1">
      <c r="A66" s="38" t="n">
        <v>65</v>
      </c>
      <c r="B66" s="39" t="inlineStr">
        <is>
          <t>Tech &amp; Software / AI</t>
        </is>
      </c>
      <c r="C66" s="40" t="inlineStr">
        <is>
          <t>aveva</t>
        </is>
      </c>
      <c r="D66" s="41" t="inlineStr">
        <is>
          <t>Artificial Intelligence and Machine Learning Intern</t>
        </is>
      </c>
      <c r="E66" s="41" t="inlineStr">
        <is>
          <t>AI and Machine Learning</t>
        </is>
      </c>
      <c r="F66" s="41" t="n"/>
      <c r="G66" s="42" t="inlineStr">
        <is>
          <t>N/A</t>
        </is>
      </c>
      <c r="H66" s="42" t="inlineStr">
        <is>
          <t>Rolling / Unspecified</t>
        </is>
      </c>
      <c r="I66" s="42" t="inlineStr">
        <is>
          <t>미제공 (포털직접)</t>
        </is>
      </c>
    </row>
    <row r="67" ht="20" customHeight="1">
      <c r="A67" s="38" t="n">
        <v>66</v>
      </c>
      <c r="B67" s="39" t="inlineStr">
        <is>
          <t>Tech &amp; Software / AI</t>
        </is>
      </c>
      <c r="C67" s="40" t="inlineStr">
        <is>
          <t>spotify</t>
        </is>
      </c>
      <c r="D67" s="41" t="inlineStr">
        <is>
          <t>2027 Summer Internship, Engineering &amp; Data Science</t>
        </is>
      </c>
      <c r="E67" s="41" t="inlineStr">
        <is>
          <t>Software Engineering, Data Science</t>
        </is>
      </c>
      <c r="F67" s="41" t="n"/>
      <c r="G67" s="42" t="inlineStr">
        <is>
          <t>N/A</t>
        </is>
      </c>
      <c r="H67" s="42" t="inlineStr">
        <is>
          <t>Rolling / Unspecified</t>
        </is>
      </c>
      <c r="I67" s="42" t="inlineStr">
        <is>
          <t>미제공 (포털직접)</t>
        </is>
      </c>
    </row>
    <row r="68" ht="20" customHeight="1">
      <c r="A68" s="38" t="n">
        <v>67</v>
      </c>
      <c r="B68" s="39" t="inlineStr">
        <is>
          <t>Tech &amp; Software / AI</t>
        </is>
      </c>
      <c r="C68" s="40" t="inlineStr">
        <is>
          <t>s-p-global</t>
        </is>
      </c>
      <c r="D68" s="41" t="inlineStr">
        <is>
          <t>Data Engineer Summer Intern</t>
        </is>
      </c>
      <c r="E68" s="41" t="inlineStr">
        <is>
          <t>Data Science</t>
        </is>
      </c>
      <c r="F68" s="41" t="n"/>
      <c r="G68" s="42" t="inlineStr">
        <is>
          <t>N/A</t>
        </is>
      </c>
      <c r="H68" s="42" t="inlineStr">
        <is>
          <t>Rolling / Unspecified</t>
        </is>
      </c>
      <c r="I68" s="42" t="inlineStr">
        <is>
          <t>미제공 (포털직접)</t>
        </is>
      </c>
    </row>
    <row r="69" ht="20" customHeight="1">
      <c r="A69" s="38" t="n">
        <v>68</v>
      </c>
      <c r="B69" s="39" t="inlineStr">
        <is>
          <t>Tech &amp; Software / AI</t>
        </is>
      </c>
      <c r="C69" s="40" t="inlineStr">
        <is>
          <t>julius-baer</t>
        </is>
      </c>
      <c r="D69" s="41" t="inlineStr">
        <is>
          <t>Data Analytics &amp; Business Management Intern</t>
        </is>
      </c>
      <c r="E69" s="41" t="inlineStr">
        <is>
          <t>Data Science</t>
        </is>
      </c>
      <c r="F69" s="41" t="n"/>
      <c r="G69" s="42" t="inlineStr">
        <is>
          <t>N/A</t>
        </is>
      </c>
      <c r="H69" s="42" t="inlineStr">
        <is>
          <t>Rolling / Unspecified</t>
        </is>
      </c>
      <c r="I69" s="42" t="inlineStr">
        <is>
          <t>미제공 (포털직접)</t>
        </is>
      </c>
    </row>
    <row r="70" ht="20" customHeight="1">
      <c r="A70" s="38" t="n">
        <v>69</v>
      </c>
      <c r="B70" s="39" t="inlineStr">
        <is>
          <t>Tech &amp; Software / AI</t>
        </is>
      </c>
      <c r="C70" s="40" t="inlineStr">
        <is>
          <t>snap</t>
        </is>
      </c>
      <c r="D70" s="41" t="inlineStr">
        <is>
          <t>Machine Learning Engineering Intern</t>
        </is>
      </c>
      <c r="E70" s="41" t="inlineStr">
        <is>
          <t>AI and Machine Learning</t>
        </is>
      </c>
      <c r="F70" s="41" t="n"/>
      <c r="G70" s="42" t="inlineStr">
        <is>
          <t>N/A</t>
        </is>
      </c>
      <c r="H70" s="42" t="inlineStr">
        <is>
          <t>Rolling / Unspecified</t>
        </is>
      </c>
      <c r="I70" s="42" t="inlineStr">
        <is>
          <t>미제공 (포털직접)</t>
        </is>
      </c>
    </row>
    <row r="71" ht="20" customHeight="1">
      <c r="A71" s="38" t="n">
        <v>70</v>
      </c>
      <c r="B71" s="39" t="inlineStr">
        <is>
          <t>Tech &amp; Software / AI</t>
        </is>
      </c>
      <c r="C71" s="40" t="inlineStr">
        <is>
          <t>cboe-global-markets</t>
        </is>
      </c>
      <c r="D71" s="41" t="inlineStr">
        <is>
          <t>Intern - Data &amp; Analytics</t>
        </is>
      </c>
      <c r="E71" s="41" t="inlineStr">
        <is>
          <t>Data Science</t>
        </is>
      </c>
      <c r="F71" s="41" t="n"/>
      <c r="G71" s="42" t="inlineStr">
        <is>
          <t>N/A</t>
        </is>
      </c>
      <c r="H71" s="42" t="inlineStr">
        <is>
          <t>Rolling / Unspecified</t>
        </is>
      </c>
      <c r="I71" s="42" t="inlineStr">
        <is>
          <t>미제공 (포털직접)</t>
        </is>
      </c>
    </row>
    <row r="72" ht="20" customHeight="1">
      <c r="A72" s="38" t="n">
        <v>71</v>
      </c>
      <c r="B72" s="39" t="inlineStr">
        <is>
          <t>Tech &amp; Software / AI</t>
        </is>
      </c>
      <c r="C72" s="40" t="inlineStr">
        <is>
          <t>frazer-nash-consultancy</t>
        </is>
      </c>
      <c r="D72" s="41" t="inlineStr">
        <is>
          <t>Data Science &amp; Software Engineer Summer Internship</t>
        </is>
      </c>
      <c r="E72" s="41" t="inlineStr">
        <is>
          <t>Data Science, Software Engineering</t>
        </is>
      </c>
      <c r="F72" s="41" t="n"/>
      <c r="G72" s="42" t="inlineStr">
        <is>
          <t>N/A</t>
        </is>
      </c>
      <c r="H72" s="42" t="inlineStr">
        <is>
          <t>Rolling / Unspecified</t>
        </is>
      </c>
      <c r="I72" s="42" t="inlineStr">
        <is>
          <t>미제공 (포털직접)</t>
        </is>
      </c>
    </row>
    <row r="73" ht="20" customHeight="1">
      <c r="A73" s="38" t="n">
        <v>72</v>
      </c>
      <c r="B73" s="39" t="inlineStr">
        <is>
          <t>Tech &amp; Software / AI</t>
        </is>
      </c>
      <c r="C73" s="40" t="inlineStr">
        <is>
          <t>l-e-k-consulting</t>
        </is>
      </c>
      <c r="D73" s="41" t="inlineStr">
        <is>
          <t>2027 Data &amp; Analytics Summer Internship</t>
        </is>
      </c>
      <c r="E73" s="41" t="inlineStr">
        <is>
          <t>Tech Consulting</t>
        </is>
      </c>
      <c r="F73" s="41" t="n"/>
      <c r="G73" s="42" t="inlineStr">
        <is>
          <t>N/A</t>
        </is>
      </c>
      <c r="H73" s="42" t="inlineStr">
        <is>
          <t>Rolling / Unspecified</t>
        </is>
      </c>
      <c r="I73" s="42" t="inlineStr">
        <is>
          <t>미제공 (포털직접)</t>
        </is>
      </c>
    </row>
  </sheetData>
  <autoFilter ref="A1:I73"/>
  <dataValidations count="2">
    <dataValidation sqref="B2:B73" showDropDown="0" showInputMessage="0" showErrorMessage="0" allowBlank="1" type="list">
      <formula1>"Tech &amp; Software / AI,Quant &amp; High-Finance"</formula1>
    </dataValidation>
    <dataValidation sqref="G2:G73" showDropDown="0" showInputMessage="0" showErrorMessage="0" allowBlank="1" type="list">
      <formula1>"Yes,No,N/A,Case-by-case"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7" r:id="rId2"/>
    <hyperlink xmlns:r="http://schemas.openxmlformats.org/officeDocument/2006/relationships" ref="I11" r:id="rId3"/>
    <hyperlink xmlns:r="http://schemas.openxmlformats.org/officeDocument/2006/relationships" ref="I17" r:id="rId4"/>
    <hyperlink xmlns:r="http://schemas.openxmlformats.org/officeDocument/2006/relationships" ref="I25" r:id="rId5"/>
    <hyperlink xmlns:r="http://schemas.openxmlformats.org/officeDocument/2006/relationships" ref="I39" r:id="rId6"/>
    <hyperlink xmlns:r="http://schemas.openxmlformats.org/officeDocument/2006/relationships" ref="I40" r:id="rId7"/>
    <hyperlink xmlns:r="http://schemas.openxmlformats.org/officeDocument/2006/relationships" ref="I41" r:id="rId8"/>
    <hyperlink xmlns:r="http://schemas.openxmlformats.org/officeDocument/2006/relationships" ref="I44" r:id="rId9"/>
    <hyperlink xmlns:r="http://schemas.openxmlformats.org/officeDocument/2006/relationships" ref="I50" r:id="rId10"/>
    <hyperlink xmlns:r="http://schemas.openxmlformats.org/officeDocument/2006/relationships" ref="I52" r:id="rId11"/>
    <hyperlink xmlns:r="http://schemas.openxmlformats.org/officeDocument/2006/relationships" ref="I63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26" customWidth="1" min="2" max="2"/>
    <col width="65" customWidth="1" min="3" max="3"/>
    <col width="46" customWidth="1" min="4" max="4"/>
    <col width="34" customWidth="1" min="5" max="5"/>
    <col width="28" customWidth="1" min="6" max="6"/>
    <col width="42" customWidth="1" min="7" max="7"/>
    <col width="50" customWidth="1" min="8" max="8"/>
    <col width="16" customWidth="1" min="9" max="9"/>
    <col width="18" customWidth="1" min="10" max="10"/>
    <col width="34" customWidth="1" min="11" max="11"/>
  </cols>
  <sheetData>
    <row r="1" ht="28" customHeight="1">
      <c r="A1" s="45" t="inlineStr">
        <is>
          <t>기업명 / 기관명 (Company Name)</t>
        </is>
      </c>
      <c r="B1" s="46" t="inlineStr">
        <is>
          <t>카테고리/분야</t>
        </is>
      </c>
      <c r="C1" s="46" t="inlineStr">
        <is>
          <t>포지션 / 프로그램명</t>
        </is>
      </c>
      <c r="D1" s="46" t="inlineStr">
        <is>
          <t>타임라인 단계 (다가오는 순)</t>
        </is>
      </c>
      <c r="E1" s="46" t="inlineStr">
        <is>
          <t>접수 / 마감 일정</t>
        </is>
      </c>
      <c r="F1" s="46" t="inlineStr">
        <is>
          <t>근무 / 실습 기간</t>
        </is>
      </c>
      <c r="G1" s="46" t="inlineStr">
        <is>
          <t>지원 자격 및 핵심 요건 (UCL 기준)</t>
        </is>
      </c>
      <c r="H1" s="46" t="inlineStr">
        <is>
          <t>주요 업무 및 역량 매칭 포인트</t>
        </is>
      </c>
      <c r="I1" s="46" t="inlineStr">
        <is>
          <t>지원 상태</t>
        </is>
      </c>
      <c r="J1" s="46" t="inlineStr">
        <is>
          <t>우선순위</t>
        </is>
      </c>
      <c r="K1" s="46" t="inlineStr">
        <is>
          <t>공식 공고 / 지원 링크</t>
        </is>
      </c>
    </row>
    <row r="2" ht="22" customHeight="1">
      <c r="A2" s="47" t="inlineStr">
        <is>
          <t>UBS Korea</t>
        </is>
      </c>
      <c r="B2" t="inlineStr">
        <is>
          <t>외국계금융_IB</t>
        </is>
      </c>
      <c r="C2" t="inlineStr">
        <is>
          <t>2027 Graduate / Intern Talent Program (Global Markets / Global Research (여의도 오피스))</t>
        </is>
      </c>
      <c r="D2" t="inlineStr">
        <is>
          <t>1. 2026년 9월 마감 (긴급)</t>
        </is>
      </c>
      <c r="E2" t="inlineStr">
        <is>
          <t>2026.09.18 ~ 09.25</t>
        </is>
      </c>
      <c r="F2" t="inlineStr">
        <is>
          <t>정규/인턴 트랙</t>
        </is>
      </c>
      <c r="G2" t="inlineStr">
        <is>
          <t>국내외 대학 졸업(예정)자, 한국 시장 금융 데이터 분석 역량</t>
        </is>
      </c>
      <c r="H2" t="inlineStr">
        <is>
          <t>한국 주식/파생상품 세일즈 및 트레이딩 데스크 보조, 리서치 리포트 발간 지원
[선발 프로세스] 서류 심사 → 적성 검사 → 다면 화상 인터뷰</t>
        </is>
      </c>
      <c r="I2" t="inlineStr">
        <is>
          <t>미지원</t>
        </is>
      </c>
      <c r="J2" t="inlineStr">
        <is>
          <t>1순위 (최우선)</t>
        </is>
      </c>
      <c r="K2" t="inlineStr">
        <is>
          <t>https://www.ubs.com/global/en/careers.html</t>
        </is>
      </c>
    </row>
    <row r="3" ht="22" customHeight="1">
      <c r="A3" s="47" t="inlineStr">
        <is>
          <t>Morgan Stanley Seoul</t>
        </is>
      </c>
      <c r="B3" t="inlineStr">
        <is>
          <t>외국계금융_IB</t>
        </is>
      </c>
      <c r="C3" t="inlineStr">
        <is>
          <t>2027 Asia Summer Analyst Program (Quantitative Finance / Technology / Global Capital Markets / IBD / Equities)</t>
        </is>
      </c>
      <c r="D3" t="inlineStr">
        <is>
          <t>1. 2026년 9월 마감 (긴급)</t>
        </is>
      </c>
      <c r="E3" t="inlineStr">
        <is>
          <t>2026.09.27 (상시 심사)</t>
        </is>
      </c>
      <c r="F3" t="inlineStr">
        <is>
          <t>10~12주 (2027.06~08)</t>
        </is>
      </c>
      <c r="G3" t="inlineStr">
        <is>
          <t>2027.10 ~ 2028.07 졸업 예정 학사/석사 재학생 (2028년 6월 최적)</t>
        </is>
      </c>
      <c r="H3" t="inlineStr">
        <is>
          <t>정량 데이터 모델링, 주식/채권 시장 분석, 트레이딩 기술 인프라 지원
[선발 프로세스] 서류 심사 → 화상 면접 → Final Round → 오퍼</t>
        </is>
      </c>
      <c r="I3" t="inlineStr">
        <is>
          <t>미지원</t>
        </is>
      </c>
      <c r="J3" t="inlineStr">
        <is>
          <t>1순위 (최우선)</t>
        </is>
      </c>
      <c r="K3" t="inlineStr">
        <is>
          <t>https://www.morganstanley.com/people-opportunities/students-graduates</t>
        </is>
      </c>
    </row>
    <row r="4" ht="22" customHeight="1">
      <c r="A4" s="47" t="inlineStr">
        <is>
          <t>J.P. Morgan Seoul</t>
        </is>
      </c>
      <c r="B4" t="inlineStr">
        <is>
          <t>외국계금융_IB</t>
        </is>
      </c>
      <c r="C4" t="inlineStr">
        <is>
          <t>2027 Markets Summer Analyst (Research Track) (Commercial &amp; Investment Bank (Global Research))</t>
        </is>
      </c>
      <c r="D4" t="inlineStr">
        <is>
          <t>1. 2026년 9월 마감 (긴급)</t>
        </is>
      </c>
      <c r="E4" t="inlineStr">
        <is>
          <t>2026.09.30 (Rolling 선착순)</t>
        </is>
      </c>
      <c r="F4" t="inlineStr">
        <is>
          <t>9~10주 (2027 하계)</t>
        </is>
      </c>
      <c r="G4" t="inlineStr">
        <is>
          <t>페널티메이트(졸업 전년도) 재학생, 한국어 및 영어 능통자</t>
        </is>
      </c>
      <c r="H4" t="inlineStr">
        <is>
          <t>한국 거시경제/주식/채권 리서치 어시스턴트, 재무 및 계량 데이터 분석
[선발 프로세스] 서류 접수 → HireVue 비디오 면접 (30일 이내) → Superday 면접</t>
        </is>
      </c>
      <c r="I4" t="inlineStr">
        <is>
          <t>미지원</t>
        </is>
      </c>
      <c r="J4" t="inlineStr">
        <is>
          <t>1순위 (최우선)</t>
        </is>
      </c>
      <c r="K4" t="inlineStr">
        <is>
          <t>https://www.jpmorganchase.com/careers</t>
        </is>
      </c>
    </row>
    <row r="5" ht="22" customHeight="1">
      <c r="A5" s="47" t="inlineStr">
        <is>
          <t>토스뱅크 (Toss Bank)</t>
        </is>
      </c>
      <c r="B5" t="inlineStr">
        <is>
          <t>데이터사이언스</t>
        </is>
      </c>
      <c r="C5" t="inlineStr">
        <is>
          <t>Product Designer (제품 디자이너) [Product Designer]</t>
        </is>
      </c>
      <c r="D5" t="inlineStr">
        <is>
          <t>1. 2026년 9월 마감 (긴급)</t>
        </is>
      </c>
      <c r="E5" t="inlineStr">
        <is>
          <t>2026.09.30 (서류 마감)</t>
        </is>
      </c>
      <c r="F5" t="inlineStr">
        <is>
          <t>신입/채용연계</t>
        </is>
      </c>
      <c r="G5" t="inlineStr">
        <is>
          <t>Figma, 사용자 인터페이스 설계, 인지심리학 기반 UX 리서치</t>
        </is>
      </c>
      <c r="H5" t="inlineStr">
        <is>
          <t>토스뱅크 금융 프로덕트 UI/UX 설계, 사용자 경험 인터랙션 최적화, 스쿼드 협업
[도메인] 인터넷전문은행 / 사용자 중심 금융 플랫폼 혁신</t>
        </is>
      </c>
      <c r="I5" t="inlineStr">
        <is>
          <t>미지원</t>
        </is>
      </c>
      <c r="J5" t="inlineStr">
        <is>
          <t>1순위 (최우선)</t>
        </is>
      </c>
      <c r="K5" t="inlineStr">
        <is>
          <t>https://toss.im/career/job-detail?job_id=4071141003</t>
        </is>
      </c>
    </row>
    <row r="6" ht="22" customHeight="1">
      <c r="A6" s="47" t="inlineStr">
        <is>
          <t>Goldman Sachs Seoul</t>
        </is>
      </c>
      <c r="B6" t="inlineStr">
        <is>
          <t>외국계금융_IB</t>
        </is>
      </c>
      <c r="C6" t="inlineStr">
        <is>
          <t>2027 Summer Analyst Program (Global Markets / Investment Banking / Operations)</t>
        </is>
      </c>
      <c r="D6" t="inlineStr">
        <is>
          <t>2. 2026년 10월 마감 (긴급)</t>
        </is>
      </c>
      <c r="E6" t="inlineStr">
        <is>
          <t>2026.10.04</t>
        </is>
      </c>
      <c r="F6" t="inlineStr">
        <is>
          <t>9~11주 (2027 하계)</t>
        </is>
      </c>
      <c r="G6" t="inlineStr">
        <is>
          <t>학·석사 페널티메이트 재학생 (최대 4개 직무 복수 지원 가능)</t>
        </is>
      </c>
      <c r="H6" t="inlineStr">
        <is>
          <t>파생상품/주식/FICC 거래 지원, 시장 동향 정량 분석, 결제/운영 리스크 관리
[선발 프로세스] 온라인 지원 → HackerRank/HireVue → Superday 면접</t>
        </is>
      </c>
      <c r="I6" t="inlineStr">
        <is>
          <t>미지원</t>
        </is>
      </c>
      <c r="J6" t="inlineStr">
        <is>
          <t>1순위 (최우선)</t>
        </is>
      </c>
      <c r="K6" t="inlineStr">
        <is>
          <t>https://www.goldmansachs.com/careers/students/programs/</t>
        </is>
      </c>
    </row>
    <row r="7" ht="22" customHeight="1">
      <c r="A7" s="47" t="inlineStr">
        <is>
          <t>McKinsey &amp; Company Seoul</t>
        </is>
      </c>
      <c r="B7" t="inlineStr">
        <is>
          <t>전략컨설팅_RA</t>
        </is>
      </c>
      <c r="C7" t="inlineStr">
        <is>
          <t>Summer Business Analyst Intern</t>
        </is>
      </c>
      <c r="D7" t="inlineStr">
        <is>
          <t>2. 2026년 10월 마감 (긴급)</t>
        </is>
      </c>
      <c r="E7" t="inlineStr">
        <is>
          <t>매년 가을 공채 (페널티메이트)</t>
        </is>
      </c>
      <c r="F7" t="inlineStr">
        <is>
          <t>8~10주 (하계)</t>
        </is>
      </c>
      <c r="G7" t="inlineStr">
        <is>
          <t>학사 페널티메이트 재학생, 탁월한 문제 해결력</t>
        </is>
      </c>
      <c r="H7" t="inlineStr">
        <is>
          <t>클라이언트 전략 수립 지원, 가설 검증, 정량 데이터 모델링
[지원 방법] McKinsey Korea Careers</t>
        </is>
      </c>
      <c r="I7" t="inlineStr">
        <is>
          <t>미지원</t>
        </is>
      </c>
      <c r="J7" t="inlineStr">
        <is>
          <t>1순위 (최우선)</t>
        </is>
      </c>
      <c r="K7" t="inlineStr">
        <is>
          <t>https://www.mckinsey.com/kr/careers</t>
        </is>
      </c>
    </row>
    <row r="8" ht="22" customHeight="1">
      <c r="A8" s="47" t="inlineStr">
        <is>
          <t>Citigroup Seoul</t>
        </is>
      </c>
      <c r="B8" t="inlineStr">
        <is>
          <t>외국계금융_IB</t>
        </is>
      </c>
      <c r="C8" t="inlineStr">
        <is>
          <t>2027 Commercial Banking Summer Analyst (Commercial Banking / Corporate Banking)</t>
        </is>
      </c>
      <c r="D8" t="inlineStr">
        <is>
          <t>2. 2026년 10월 마감 (긴급)</t>
        </is>
      </c>
      <c r="E8" t="inlineStr">
        <is>
          <t>2026.10.30</t>
        </is>
      </c>
      <c r="F8" t="inlineStr">
        <is>
          <t>10주 (2027 하계)</t>
        </is>
      </c>
      <c r="G8" t="inlineStr">
        <is>
          <t>2027.12 ~ 2028.06 졸업예정자, 한국어/영어 능통자</t>
        </is>
      </c>
      <c r="H8" t="inlineStr">
        <is>
          <t>중견·대기업 여신 및 금융 솔루션 분석, 재무제표 및 산업 데이터 모델링
[선발 프로세스] 서류 심사 → 온라인 인적성/역량검사 → 실무/임원 면접</t>
        </is>
      </c>
      <c r="I8" t="inlineStr">
        <is>
          <t>미지원</t>
        </is>
      </c>
      <c r="J8" t="inlineStr">
        <is>
          <t>1순위 (최우선)</t>
        </is>
      </c>
      <c r="K8" t="inlineStr">
        <is>
          <t>https://jobs.citi.com/search-jobs/Seoul%2C%20South%20Korea/287/4/1835848-1835847/37x56667/126x97806/50/2</t>
        </is>
      </c>
    </row>
    <row r="9" ht="22" customHeight="1">
      <c r="A9" s="47" t="inlineStr">
        <is>
          <t>Citigroup Seoul</t>
        </is>
      </c>
      <c r="B9" t="inlineStr">
        <is>
          <t>외국계금융_IB</t>
        </is>
      </c>
      <c r="C9" t="inlineStr">
        <is>
          <t>2027 Investment Banking Summer Analyst (Banking - Investment Banking Division)</t>
        </is>
      </c>
      <c r="D9" t="inlineStr">
        <is>
          <t>2. 2026년 10월 마감 (긴급)</t>
        </is>
      </c>
      <c r="E9" t="inlineStr">
        <is>
          <t>2026.10.30</t>
        </is>
      </c>
      <c r="F9" t="inlineStr">
        <is>
          <t>10주 (2027 하계)</t>
        </is>
      </c>
      <c r="G9" t="inlineStr">
        <is>
          <t>페널티메이트 재학생, 재무 모델링(DCF/LBO) 기초 이해자</t>
        </is>
      </c>
      <c r="H9" t="inlineStr">
        <is>
          <t>M&amp;A 실사 보조, 기업 가치 평가(Valuation), 피치북 작성 지원
[선발 프로세스] 서류 심사 → 기술/인성 면접</t>
        </is>
      </c>
      <c r="I9" t="inlineStr">
        <is>
          <t>미지원</t>
        </is>
      </c>
      <c r="J9" t="inlineStr">
        <is>
          <t>1순위 (최우선)</t>
        </is>
      </c>
      <c r="K9" t="inlineStr">
        <is>
          <t>https://jobs.citi.com/search-jobs/Seoul%2C%20South%20Korea/287/4/1835848-1835847/37x56667/126x97806/50/2</t>
        </is>
      </c>
    </row>
    <row r="10" ht="22" customHeight="1">
      <c r="A10" s="47" t="inlineStr">
        <is>
          <t>딥오토 (DeepAuto)</t>
        </is>
      </c>
      <c r="B10" t="inlineStr">
        <is>
          <t>AI_Agent_LLM</t>
        </is>
      </c>
      <c r="C10" t="inlineStr">
        <is>
          <t>[인턴] Agentic AI Engineer</t>
        </is>
      </c>
      <c r="D10" t="inlineStr">
        <is>
          <t>3. 상시 / 즉시 지원 (ASAP)</t>
        </is>
      </c>
      <c r="E10" t="inlineStr">
        <is>
          <t>상시 채용 (ASAP)</t>
        </is>
      </c>
      <c r="F10" t="inlineStr">
        <is>
          <t>체험형/채용연계형 인턴</t>
        </is>
      </c>
      <c r="G10" t="inlineStr">
        <is>
          <t>[서울 강남구 역삼] Python, LangChain/LlamaIndex, LLM Prompting, MCP 도구 이해</t>
        </is>
      </c>
      <c r="H10" t="inlineStr">
        <is>
          <t>• 에이전트 프롬프트 및 토폴로지 최적화
• 평가 자동화 파이프라인 구축
• MCP (Model Context Protocol) Tool 통합
[규빈 님 매칭 포인트] MCP 연동 실무 경험 및 LLM 분류 파이프라인(κ=0.98) 구축 자산과 100% 일치</t>
        </is>
      </c>
      <c r="I10" t="inlineStr">
        <is>
          <t>미지원</t>
        </is>
      </c>
      <c r="J10" t="inlineStr">
        <is>
          <t>1순위 (최우선)</t>
        </is>
      </c>
      <c r="K10" t="inlineStr">
        <is>
          <t>https://www.wanted.co.kr/wd/293701</t>
        </is>
      </c>
    </row>
    <row r="11" ht="22" customHeight="1">
      <c r="A11" s="47" t="inlineStr">
        <is>
          <t>딥오토 (DeepAuto)</t>
        </is>
      </c>
      <c r="B11" t="inlineStr">
        <is>
          <t>AI_Agent_LLM</t>
        </is>
      </c>
      <c r="C11" t="inlineStr">
        <is>
          <t>[인턴] AI Engineer</t>
        </is>
      </c>
      <c r="D11" t="inlineStr">
        <is>
          <t>3. 상시 / 즉시 지원 (ASAP)</t>
        </is>
      </c>
      <c r="E11" t="inlineStr">
        <is>
          <t>상시 채용</t>
        </is>
      </c>
      <c r="F11" t="inlineStr">
        <is>
          <t>인턴십</t>
        </is>
      </c>
      <c r="G11" t="inlineStr">
        <is>
          <t>[서울 강남구 역삼] Python, PyTorch, 딥러닝 프로젝트 경험, LLM 서빙</t>
        </is>
      </c>
      <c r="H11" t="inlineStr">
        <is>
          <t>• 멀티모달 LLM/VLM 에이전트 설계 및 구현
• OCR, Document AI 모델 설계
• LLM 파인튜닝 및 강화학습(RL) 파이프라인
[규빈 님 매칭 포인트] Python 기반 엔드투엔드 파이프라인 구축 및 멀티모달 데이터 처리</t>
        </is>
      </c>
      <c r="I11" t="inlineStr">
        <is>
          <t>미지원</t>
        </is>
      </c>
      <c r="J11" t="inlineStr">
        <is>
          <t>1순위 (최우선)</t>
        </is>
      </c>
      <c r="K11" t="inlineStr">
        <is>
          <t>https://www.wanted.co.kr/wd/379363</t>
        </is>
      </c>
    </row>
    <row r="12" ht="22" customHeight="1">
      <c r="A12" s="47" t="inlineStr">
        <is>
          <t>딥오토 (DeepAuto)</t>
        </is>
      </c>
      <c r="B12" t="inlineStr">
        <is>
          <t>AI_Agent_LLM</t>
        </is>
      </c>
      <c r="C12" t="inlineStr">
        <is>
          <t>[인턴] MCP Engineer</t>
        </is>
      </c>
      <c r="D12" t="inlineStr">
        <is>
          <t>3. 상시 / 즉시 지원 (ASAP)</t>
        </is>
      </c>
      <c r="E12" t="inlineStr">
        <is>
          <t>상시 채용</t>
        </is>
      </c>
      <c r="F12" t="inlineStr">
        <is>
          <t>인턴십</t>
        </is>
      </c>
      <c r="G12" t="inlineStr">
        <is>
          <t>[서울 강남구 역삼] Python, REST/JSON-RPC, MCP 규격 이해</t>
        </is>
      </c>
      <c r="H12" t="inlineStr">
        <is>
          <t>• AI 에이전트 연동 Tool Software(MCP Server) 개발
• Python 라이브러리 및 API 연동 파이프라인 구축
[규빈 님 매칭 포인트] MCP Server 직접 연동 및 Zotero-API 자동화 경험 직결</t>
        </is>
      </c>
      <c r="I12" t="inlineStr">
        <is>
          <t>미지원</t>
        </is>
      </c>
      <c r="J12" t="inlineStr">
        <is>
          <t>1순위 (최우선)</t>
        </is>
      </c>
      <c r="K12" t="inlineStr">
        <is>
          <t>https://www.wanted.co.kr/wd/293704</t>
        </is>
      </c>
    </row>
    <row r="13" ht="22" customHeight="1">
      <c r="A13" s="47" t="inlineStr">
        <is>
          <t>뤼튼테크놀로지스</t>
        </is>
      </c>
      <c r="B13" t="inlineStr">
        <is>
          <t>AI_Agent_LLM</t>
        </is>
      </c>
      <c r="C13" t="inlineStr">
        <is>
          <t>[인턴] Internal Agent Builder</t>
        </is>
      </c>
      <c r="D13" t="inlineStr">
        <is>
          <t>3. 상시 / 즉시 지원 (ASAP)</t>
        </is>
      </c>
      <c r="E13" t="inlineStr">
        <is>
          <t>상시 채용</t>
        </is>
      </c>
      <c r="F13" t="inlineStr">
        <is>
          <t>3개월 인턴 (정규 전환 가능)</t>
        </is>
      </c>
      <c r="G13" t="inlineStr">
        <is>
          <t>[서울 강남구] Python 또는 Node.js 프로그래밍, LLM API 활용 생산성 도구 구현</t>
        </is>
      </c>
      <c r="H13" t="inlineStr">
        <is>
          <t>• 사내 비즈니스 업무 자동화를 위한 내부 AI 에이전트 개발
• 다양한 최신 LLM API 연동 및 워크플로우 구축
[규빈 님 매칭 포인트] Zotero-LLM API 연동 및 자동화 에이전트 워크플로우 구현 경험</t>
        </is>
      </c>
      <c r="I13" t="inlineStr">
        <is>
          <t>미지원</t>
        </is>
      </c>
      <c r="J13" t="inlineStr">
        <is>
          <t>1순위 (최우선)</t>
        </is>
      </c>
      <c r="K13" t="inlineStr">
        <is>
          <t>https://www.wanted.co.kr/company/18629</t>
        </is>
      </c>
    </row>
    <row r="14" ht="22" customHeight="1">
      <c r="A14" s="47" t="inlineStr">
        <is>
          <t>노타 (Nota AI)</t>
        </is>
      </c>
      <c r="B14" t="inlineStr">
        <is>
          <t>AI_Agent_LLM</t>
        </is>
      </c>
      <c r="C14" t="inlineStr">
        <is>
          <t>[인턴] NetsPresso R&amp;D AI Engineer</t>
        </is>
      </c>
      <c r="D14" t="inlineStr">
        <is>
          <t>3. 상시 / 즉시 지원 (ASAP)</t>
        </is>
      </c>
      <c r="E14" t="inlineStr">
        <is>
          <t>상시 채용</t>
        </is>
      </c>
      <c r="F14" t="inlineStr">
        <is>
          <t>3~6개월 인턴십</t>
        </is>
      </c>
      <c r="G14" t="inlineStr">
        <is>
          <t>[서울 강남구] PyTorch, ONNX, ExecuTorch, 딥러닝 모델 경량화(Quantization)</t>
        </is>
      </c>
      <c r="H14" t="inlineStr">
        <is>
          <t>• 내부 IR(Intermediate Representation) 개발
• PyTorch/ONNX 모델 변환 및 경량화
• On-device AI 가속화 프레임워크 최적화
[규빈 님 매칭 포인트] PyTorch 모델링 및 효율적 알고리즘 튜닝 역량</t>
        </is>
      </c>
      <c r="I14" t="inlineStr">
        <is>
          <t>미지원</t>
        </is>
      </c>
      <c r="J14" t="inlineStr">
        <is>
          <t>2순위 (유력)</t>
        </is>
      </c>
      <c r="K14" t="inlineStr">
        <is>
          <t>https://www.wanted.co.kr/search?query=%EB%85%B8%ED%83%80%20NetsPresso</t>
        </is>
      </c>
    </row>
    <row r="15" ht="22" customHeight="1">
      <c r="A15" s="47" t="inlineStr">
        <is>
          <t>업스테이지 (Upstage)</t>
        </is>
      </c>
      <c r="B15" t="inlineStr">
        <is>
          <t>AI_Agent_LLM</t>
        </is>
      </c>
      <c r="C15" t="inlineStr">
        <is>
          <t>[인턴] AI Engineer (LLM / Agent)</t>
        </is>
      </c>
      <c r="D15" t="inlineStr">
        <is>
          <t>3. 상시 / 즉시 지원 (ASAP)</t>
        </is>
      </c>
      <c r="E15" t="inlineStr">
        <is>
          <t>수시 채용</t>
        </is>
      </c>
      <c r="F15" t="inlineStr">
        <is>
          <t>3~6개월 인턴십</t>
        </is>
      </c>
      <c r="G15" t="inlineStr">
        <is>
          <t>[서울 / 원격 병행] Python, PyTorch, HuggingFace, LLM Fine-tuning 및 모델 벤치마크</t>
        </is>
      </c>
      <c r="H15" t="inlineStr">
        <is>
          <t>• Solar 기반 AI 에이전트 워크플로우 설계
• vLLM 기반 고성능 추론 최적화 및 모델 평가
• Document AI 데이터셋 구축
[규빈 님 매칭 포인트] 대규모 논문/문서 데이터 LLM 자동 평가 및 벤치마킹 분석 역량</t>
        </is>
      </c>
      <c r="I15" t="inlineStr">
        <is>
          <t>미지원</t>
        </is>
      </c>
      <c r="J15" t="inlineStr">
        <is>
          <t>2순위 (유력)</t>
        </is>
      </c>
      <c r="K15" t="inlineStr">
        <is>
          <t>https://www.wanted.co.kr/search?query=%EC%97%85%EC%8A%A4%ED%85%8C%EC%9D%B4%EC%A7%80%20%EC%9D%B8%ED%84%B4</t>
        </is>
      </c>
    </row>
    <row r="16" ht="22" customHeight="1">
      <c r="A16" s="47" t="inlineStr">
        <is>
          <t>채널코퍼레이션 (채널톡)</t>
        </is>
      </c>
      <c r="B16" t="inlineStr">
        <is>
          <t>AI_Agent_LLM</t>
        </is>
      </c>
      <c r="C16" t="inlineStr">
        <is>
          <t>[인턴] Machine Learning Engineer</t>
        </is>
      </c>
      <c r="D16" t="inlineStr">
        <is>
          <t>3. 상시 / 즉시 지원 (ASAP)</t>
        </is>
      </c>
      <c r="E16" t="inlineStr">
        <is>
          <t>상시 채용</t>
        </is>
      </c>
      <c r="F16" t="inlineStr">
        <is>
          <t>인턴십</t>
        </is>
      </c>
      <c r="G16" t="inlineStr">
        <is>
          <t>[서울 강남구] Python, ML/DL 기본기, NLP/LLM 프로젝트, RAG 지식</t>
        </is>
      </c>
      <c r="H16" t="inlineStr">
        <is>
          <t>• 고객 상담 자동화 AI Agent 설계
• 데이터 전처리 및 학습 파이프라인 구현
• 멀티모달 검색 및 RAG 시스템 고도화
[규빈 님 매칭 포인트] 비정형 텍스트 처리 및 고신뢰도 RAG/QA 검색 시스템 파이프라인</t>
        </is>
      </c>
      <c r="I16" t="inlineStr">
        <is>
          <t>미지원</t>
        </is>
      </c>
      <c r="J16" t="inlineStr">
        <is>
          <t>2순위 (유력)</t>
        </is>
      </c>
      <c r="K16" t="inlineStr">
        <is>
          <t>https://www.wanted.co.kr/search?query=%EC%B1%84%EB%84%80%EC%BD%94%ED%8D%BC%EB%A0%88%EC%9D%B4%EC%85%98%20%EC%9D%B8%ED%84%B4</t>
        </is>
      </c>
    </row>
    <row r="17" ht="22" customHeight="1">
      <c r="A17" s="47" t="inlineStr">
        <is>
          <t>피카부랩스</t>
        </is>
      </c>
      <c r="B17" t="inlineStr">
        <is>
          <t>AI_Agent_LLM</t>
        </is>
      </c>
      <c r="C17" t="inlineStr">
        <is>
          <t>[인턴] AI 엔지니어</t>
        </is>
      </c>
      <c r="D17" t="inlineStr">
        <is>
          <t>3. 상시 / 즉시 지원 (ASAP)</t>
        </is>
      </c>
      <c r="E17" t="inlineStr">
        <is>
          <t>상시 채용</t>
        </is>
      </c>
      <c r="F17" t="inlineStr">
        <is>
          <t>인턴십</t>
        </is>
      </c>
      <c r="G17" t="inlineStr">
        <is>
          <t>[서울] Python, PyTorch/TensorFlow, 학부 3학년 이상 재학생</t>
        </is>
      </c>
      <c r="H17" t="inlineStr">
        <is>
          <t>• sLLM 활용 의도(Intent) 추출 모델 설계
• 자연어 명령-액션 변환 모델 학습
• ONNX 온디바이스 모델 최적화
[규빈 님 매칭 포인트] 인지/언어학(Language Sciences) 기반 자연어 처리 이해도</t>
        </is>
      </c>
      <c r="I17" t="inlineStr">
        <is>
          <t>미지원</t>
        </is>
      </c>
      <c r="J17" t="inlineStr">
        <is>
          <t>2순위 (유력)</t>
        </is>
      </c>
      <c r="K17" t="inlineStr">
        <is>
          <t>https://www.wanted.co.kr/search?query=%ED%94%BC%EC%B9%B4%EB%B6%80%EB%9E%A9%EC%8A%A4</t>
        </is>
      </c>
    </row>
    <row r="18" ht="22" customHeight="1">
      <c r="A18" s="47" t="inlineStr">
        <is>
          <t>당근 (Daangn)</t>
        </is>
      </c>
      <c r="B18" t="inlineStr">
        <is>
          <t>데이터사이언스</t>
        </is>
      </c>
      <c r="C18" t="inlineStr">
        <is>
          <t>AI-Driven Data Analyst (인턴) [Data Analyst]</t>
        </is>
      </c>
      <c r="D18" t="inlineStr">
        <is>
          <t>3. 상시 / 즉시 지원 (ASAP)</t>
        </is>
      </c>
      <c r="E18" t="inlineStr">
        <is>
          <t>상시 (ASAP)</t>
        </is>
      </c>
      <c r="F18" t="inlineStr">
        <is>
          <t>3~6개월</t>
        </is>
      </c>
      <c r="G18" t="inlineStr">
        <is>
          <t>SQL, Python, A/B Test 통계 검증</t>
        </is>
      </c>
      <c r="H18" t="inlineStr">
        <is>
          <t>지표 체계 수립, 이상 탐지 모델, A/B 테스트 가설 검증
[도메인 및 비즈니스 특징] 하이퍼로컬 플랫폼 / 머신러닝 실험</t>
        </is>
      </c>
      <c r="I18" t="inlineStr">
        <is>
          <t>미지원</t>
        </is>
      </c>
      <c r="J18" t="inlineStr">
        <is>
          <t>1순위 (최우선)</t>
        </is>
      </c>
      <c r="K18" t="inlineStr">
        <is>
          <t>https://www.superookie.com/jobs?keyword=%EB%8B%B9%EA%B7%BC</t>
        </is>
      </c>
    </row>
    <row r="19" ht="22" customHeight="1">
      <c r="A19" s="47" t="inlineStr">
        <is>
          <t>당근 (Daangn)</t>
        </is>
      </c>
      <c r="B19" t="inlineStr">
        <is>
          <t>데이터사이언스</t>
        </is>
      </c>
      <c r="C19" t="inlineStr">
        <is>
          <t>Cross Product Growth DA (인턴) [Data Analyst]</t>
        </is>
      </c>
      <c r="D19" t="inlineStr">
        <is>
          <t>3. 상시 / 즉시 지원 (ASAP)</t>
        </is>
      </c>
      <c r="E19" t="inlineStr">
        <is>
          <t>상시 (ASAP)</t>
        </is>
      </c>
      <c r="F19" t="inlineStr">
        <is>
          <t>3~6개월</t>
        </is>
      </c>
      <c r="G19" t="inlineStr">
        <is>
          <t>고급 SQL 쿼리, 시각화 대시보드</t>
        </is>
      </c>
      <c r="H19" t="inlineStr">
        <is>
          <t>그로스 퍼널 분석, 유저 행동 데이터 코호트 분석
[도메인 및 비즈니스 특징] 프로덕트 성장 전략</t>
        </is>
      </c>
      <c r="I19" t="inlineStr">
        <is>
          <t>미지원</t>
        </is>
      </c>
      <c r="J19" t="inlineStr">
        <is>
          <t>1순위 (최우선)</t>
        </is>
      </c>
      <c r="K19" t="inlineStr">
        <is>
          <t>https://www.superookie.com/jobs?keyword=%EB%8B%B9%EA%B7%BC</t>
        </is>
      </c>
    </row>
    <row r="20" ht="22" customHeight="1">
      <c r="A20" s="47" t="inlineStr">
        <is>
          <t>매스프레소 (콴다)</t>
        </is>
      </c>
      <c r="B20" t="inlineStr">
        <is>
          <t>데이터사이언스</t>
        </is>
      </c>
      <c r="C20" t="inlineStr">
        <is>
          <t>[인턴] Data Analyst [Data Analyst]</t>
        </is>
      </c>
      <c r="D20" t="inlineStr">
        <is>
          <t>3. 상시 / 즉시 지원 (ASAP)</t>
        </is>
      </c>
      <c r="E20" t="inlineStr">
        <is>
          <t>상시 채용</t>
        </is>
      </c>
      <c r="F20" t="inlineStr">
        <is>
          <t>3~6개월 (전환 가능)</t>
        </is>
      </c>
      <c r="G20" t="inlineStr">
        <is>
          <t>Google BigQuery(SQL), Python/R</t>
        </is>
      </c>
      <c r="H20" t="inlineStr">
        <is>
          <t>BigQuery 활용 대규모 학습 로그 분석, 지표 정의
[도메인 및 비즈니스 특징] 글로벌 에듀테크 / 정규직 전환 검토</t>
        </is>
      </c>
      <c r="I20" t="inlineStr">
        <is>
          <t>미지원</t>
        </is>
      </c>
      <c r="J20" t="inlineStr">
        <is>
          <t>1순위 (최우선)</t>
        </is>
      </c>
      <c r="K20" t="inlineStr">
        <is>
          <t>https://www.wanted.co.kr/company/1258</t>
        </is>
      </c>
    </row>
    <row r="21" ht="22" customHeight="1">
      <c r="A21" s="47" t="inlineStr">
        <is>
          <t>플렉스 (flex)</t>
        </is>
      </c>
      <c r="B21" t="inlineStr">
        <is>
          <t>데이터사이언스</t>
        </is>
      </c>
      <c r="C21" t="inlineStr">
        <is>
          <t>Data Analyst Intern (채용연계형) [Data Analyst]</t>
        </is>
      </c>
      <c r="D21" t="inlineStr">
        <is>
          <t>3. 상시 / 즉시 지원 (ASAP)</t>
        </is>
      </c>
      <c r="E21" t="inlineStr">
        <is>
          <t>상시 채용</t>
        </is>
      </c>
      <c r="F21" t="inlineStr">
        <is>
          <t>6개월</t>
        </is>
      </c>
      <c r="G21" t="inlineStr">
        <is>
          <t>SQL, Tableau, 데이터 마트 모델링</t>
        </is>
      </c>
      <c r="H21" t="inlineStr">
        <is>
          <t>B2B SaaS 지표 정의, Tableau 대시보드, 퍼널 분석
[도메인 및 비즈니스 특징] HR Tech SaaS</t>
        </is>
      </c>
      <c r="I21" t="inlineStr">
        <is>
          <t>미지원</t>
        </is>
      </c>
      <c r="J21" t="inlineStr">
        <is>
          <t>1순위 (최우선)</t>
        </is>
      </c>
      <c r="K21" t="inlineStr">
        <is>
          <t>https://www.superookie.com/jobs?keyword=%ED%94%8C%EB%A0%89%EC%8A%A4</t>
        </is>
      </c>
    </row>
    <row r="22" ht="22" customHeight="1">
      <c r="A22" s="47" t="inlineStr">
        <is>
          <t>AWS Korea</t>
        </is>
      </c>
      <c r="B22" t="inlineStr">
        <is>
          <t>데이터사이언스</t>
        </is>
      </c>
      <c r="C22" t="inlineStr">
        <is>
          <t>Sales Ops Analyst Intern [Business / Ops Analyst]</t>
        </is>
      </c>
      <c r="D22" t="inlineStr">
        <is>
          <t>3. 상시 / 즉시 지원 (ASAP)</t>
        </is>
      </c>
      <c r="E22" t="inlineStr">
        <is>
          <t>상시 (ASAP 마감)</t>
        </is>
      </c>
      <c r="F22" t="inlineStr">
        <is>
          <t>6개월 (풀타임)</t>
        </is>
      </c>
      <c r="G22" t="inlineStr">
        <is>
          <t>Excel, SQL, 영문/국문 커뮤니케이션 능통</t>
        </is>
      </c>
      <c r="H22" t="inlineStr">
        <is>
          <t>SAS 영업 운영 데이터 정량 분석, 프로세스 자동화 리포팅
[도메인 및 비즈니스 특징] 글로벌 클라우드 세일즈</t>
        </is>
      </c>
      <c r="I22" t="inlineStr">
        <is>
          <t>미지원</t>
        </is>
      </c>
      <c r="J22" t="inlineStr">
        <is>
          <t>2순위 (유력)</t>
        </is>
      </c>
      <c r="K22" t="inlineStr">
        <is>
          <t>https://www.amazon.jobs/en/locations/seoul-south-korea</t>
        </is>
      </c>
    </row>
    <row r="23" ht="22" customHeight="1">
      <c r="A23" s="47" t="inlineStr">
        <is>
          <t>Coupang</t>
        </is>
      </c>
      <c r="B23" t="inlineStr">
        <is>
          <t>데이터사이언스</t>
        </is>
      </c>
      <c r="C23" t="inlineStr">
        <is>
          <t>Junior Business Analyst (Catalog Quality) [Business Analyst]</t>
        </is>
      </c>
      <c r="D23" t="inlineStr">
        <is>
          <t>3. 상시 / 즉시 지원 (ASAP)</t>
        </is>
      </c>
      <c r="E23" t="inlineStr">
        <is>
          <t>수시 채용</t>
        </is>
      </c>
      <c r="F23" t="inlineStr">
        <is>
          <t>정규직 / 주니어</t>
        </is>
      </c>
      <c r="G23" t="inlineStr">
        <is>
          <t>SQL, Python 자동화, 문제 해결력</t>
        </is>
      </c>
      <c r="H23" t="inlineStr">
        <is>
          <t>카탈로그 운영 데이터 분석, 품질 이상 탐지 모델 모니터링
[도메인 및 비즈니스 특징] 글로벌 이커머스</t>
        </is>
      </c>
      <c r="I23" t="inlineStr">
        <is>
          <t>미지원</t>
        </is>
      </c>
      <c r="J23" t="inlineStr">
        <is>
          <t>2순위 (유력)</t>
        </is>
      </c>
      <c r="K23" t="inlineStr">
        <is>
          <t>https://www.coupang.jobs/</t>
        </is>
      </c>
    </row>
    <row r="24" ht="22" customHeight="1">
      <c r="A24" s="47" t="inlineStr">
        <is>
          <t>레브잇 (올웨이즈)</t>
        </is>
      </c>
      <c r="B24" t="inlineStr">
        <is>
          <t>데이터사이언스</t>
        </is>
      </c>
      <c r="C24" t="inlineStr">
        <is>
          <t>[인턴] Data Analyst [Data Analyst]</t>
        </is>
      </c>
      <c r="D24" t="inlineStr">
        <is>
          <t>3. 상시 / 즉시 지원 (ASAP)</t>
        </is>
      </c>
      <c r="E24" t="inlineStr">
        <is>
          <t>상시 채용</t>
        </is>
      </c>
      <c r="F24" t="inlineStr">
        <is>
          <t>3~6개월</t>
        </is>
      </c>
      <c r="G24" t="inlineStr">
        <is>
          <t>SQL, 수리통계학 기반 분석</t>
        </is>
      </c>
      <c r="H24" t="inlineStr">
        <is>
          <t>대규모 사용자 행동 로그 분석, 리텐션 분석
[도메인 및 비즈니스 특징] 초고속 성장 모바일 커머스</t>
        </is>
      </c>
      <c r="I24" t="inlineStr">
        <is>
          <t>미지원</t>
        </is>
      </c>
      <c r="J24" t="inlineStr">
        <is>
          <t>2순위 (유력)</t>
        </is>
      </c>
      <c r="K24" t="inlineStr">
        <is>
          <t>https://www.wanted.co.kr/search?query=%EB%A0%88%EB%8Ext%EC%9E%87%20Data%20Analyst</t>
        </is>
      </c>
    </row>
    <row r="25" ht="22" customHeight="1">
      <c r="A25" s="47" t="inlineStr">
        <is>
          <t>번개장터</t>
        </is>
      </c>
      <c r="B25" t="inlineStr">
        <is>
          <t>데이터사이언스</t>
        </is>
      </c>
      <c r="C25" t="inlineStr">
        <is>
          <t>Data Analytics 체험형 인턴 [Data Analyst]</t>
        </is>
      </c>
      <c r="D25" t="inlineStr">
        <is>
          <t>3. 상시 / 즉시 지원 (ASAP)</t>
        </is>
      </c>
      <c r="E25" t="inlineStr">
        <is>
          <t>상시 채용</t>
        </is>
      </c>
      <c r="F25" t="inlineStr">
        <is>
          <t>3~6개월</t>
        </is>
      </c>
      <c r="G25" t="inlineStr">
        <is>
          <t>고급 SQL, 정량 데이터 가설 검정</t>
        </is>
      </c>
      <c r="H25" t="inlineStr">
        <is>
          <t>C2C 거래 및 검색 행동 데이터 분석, 정량 코호트 분석
[도메인 및 비즈니스 특징] 중고거래 플랫폼</t>
        </is>
      </c>
      <c r="I25" t="inlineStr">
        <is>
          <t>미지원</t>
        </is>
      </c>
      <c r="J25" t="inlineStr">
        <is>
          <t>2순위 (유력)</t>
        </is>
      </c>
      <c r="K25" t="inlineStr">
        <is>
          <t>https://www.superookie.com/jobs?keyword=%EB%8B%B9%EA%B7%BC</t>
        </is>
      </c>
    </row>
    <row r="26" ht="22" customHeight="1">
      <c r="A26" s="47" t="inlineStr">
        <is>
          <t>쏘카 (SOCAR)</t>
        </is>
      </c>
      <c r="B26" t="inlineStr">
        <is>
          <t>데이터사이언스</t>
        </is>
      </c>
      <c r="C26" t="inlineStr">
        <is>
          <t>Data Scientist 인턴 (수요예측/배치) [Data Scientist]</t>
        </is>
      </c>
      <c r="D26" t="inlineStr">
        <is>
          <t>3. 상시 / 즉시 지원 (ASAP)</t>
        </is>
      </c>
      <c r="E26" t="inlineStr">
        <is>
          <t>상시 채용</t>
        </is>
      </c>
      <c r="F26" t="inlineStr">
        <is>
          <t>6개월 (풀타임)</t>
        </is>
      </c>
      <c r="G26" t="inlineStr">
        <is>
          <t>Python, SQL, 머신러닝 예측 모델</t>
        </is>
      </c>
      <c r="H26" t="inlineStr">
        <is>
          <t>카셰어링 수요 예측, 동적 가격 결정(Pricing) 알고리즘
[도메인 및 비즈니스 특징] 모빌리티 최적화</t>
        </is>
      </c>
      <c r="I26" t="inlineStr">
        <is>
          <t>미지원</t>
        </is>
      </c>
      <c r="J26" t="inlineStr">
        <is>
          <t>2순위 (유력)</t>
        </is>
      </c>
      <c r="K26" t="inlineStr">
        <is>
          <t>https://www.wanted.co.kr/company/5251</t>
        </is>
      </c>
    </row>
    <row r="27" ht="22" customHeight="1">
      <c r="A27" s="47" t="inlineStr">
        <is>
          <t>와이즐리 (Wisely)</t>
        </is>
      </c>
      <c r="B27" t="inlineStr">
        <is>
          <t>데이터사이언스</t>
        </is>
      </c>
      <c r="C27" t="inlineStr">
        <is>
          <t>[인턴] 데이터 분석가 [Data Analyst]</t>
        </is>
      </c>
      <c r="D27" t="inlineStr">
        <is>
          <t>3. 상시 / 즉시 지원 (ASAP)</t>
        </is>
      </c>
      <c r="E27" t="inlineStr">
        <is>
          <t>상시 채용</t>
        </is>
      </c>
      <c r="F27" t="inlineStr">
        <is>
          <t>3~6개월</t>
        </is>
      </c>
      <c r="G27" t="inlineStr">
        <is>
          <t>SQL, Python/R, 회귀분석/가설검정</t>
        </is>
      </c>
      <c r="H27" t="inlineStr">
        <is>
          <t>구독/수요 예측 모델링, A/B 테스트 정량 통계 분석
[도메인 및 비즈니스 특징] D2C 커머스</t>
        </is>
      </c>
      <c r="I27" t="inlineStr">
        <is>
          <t>미지원</t>
        </is>
      </c>
      <c r="J27" t="inlineStr">
        <is>
          <t>2순위 (유력)</t>
        </is>
      </c>
      <c r="K27" t="inlineStr">
        <is>
          <t>https://www.wanted.co.kr/search?query=%EC%99%80%EC%9D%B4%EC%A6%90%EB%A6%AC%20%EB%8D%B0%EC%9D%B4%ED%84%B0</t>
        </is>
      </c>
    </row>
    <row r="28" ht="22" customHeight="1">
      <c r="A28" s="47" t="inlineStr">
        <is>
          <t>원티드랩</t>
        </is>
      </c>
      <c r="B28" t="inlineStr">
        <is>
          <t>데이터사이언스</t>
        </is>
      </c>
      <c r="C28" t="inlineStr">
        <is>
          <t>[인턴] 데이터 사이언티스트 (AI기술팀) [Data Scientist]</t>
        </is>
      </c>
      <c r="D28" t="inlineStr">
        <is>
          <t>3. 상시 / 즉시 지원 (ASAP)</t>
        </is>
      </c>
      <c r="E28" t="inlineStr">
        <is>
          <t>상시 채용</t>
        </is>
      </c>
      <c r="F28" t="inlineStr">
        <is>
          <t>3~6개월</t>
        </is>
      </c>
      <c r="G28" t="inlineStr">
        <is>
          <t>Python, SQL, 머신러닝 기초 이론</t>
        </is>
      </c>
      <c r="H28" t="inlineStr">
        <is>
          <t>채용 매칭/추천 알고리즘 설계, 커리어 데이터 예측 모델
[도메인 및 비즈니스 특징] AI 커리어 플랫폼</t>
        </is>
      </c>
      <c r="I28" t="inlineStr">
        <is>
          <t>미지원</t>
        </is>
      </c>
      <c r="J28" t="inlineStr">
        <is>
          <t>2순위 (유력)</t>
        </is>
      </c>
      <c r="K28" t="inlineStr">
        <is>
          <t>https://www.wanted.co.kr/company/10499</t>
        </is>
      </c>
    </row>
    <row r="29" ht="22" customHeight="1">
      <c r="A29" s="47" t="inlineStr">
        <is>
          <t>원티드랩</t>
        </is>
      </c>
      <c r="B29" t="inlineStr">
        <is>
          <t>데이터사이언스</t>
        </is>
      </c>
      <c r="C29" t="inlineStr">
        <is>
          <t>[인턴] 데이터 분석가 [Data Analyst]</t>
        </is>
      </c>
      <c r="D29" t="inlineStr">
        <is>
          <t>3. 상시 / 즉시 지원 (ASAP)</t>
        </is>
      </c>
      <c r="E29" t="inlineStr">
        <is>
          <t>상시 채용</t>
        </is>
      </c>
      <c r="F29" t="inlineStr">
        <is>
          <t>3~6개월</t>
        </is>
      </c>
      <c r="G29" t="inlineStr">
        <is>
          <t>SQL, Python/R, 대시보드 시각화</t>
        </is>
      </c>
      <c r="H29" t="inlineStr">
        <is>
          <t>전사 DB SQL 추출, 비즈니스 의사결정 대시보드 구축
[도메인 및 비즈니스 특징] 전사 비즈니스 KPI 관리</t>
        </is>
      </c>
      <c r="I29" t="inlineStr">
        <is>
          <t>미지원</t>
        </is>
      </c>
      <c r="J29" t="inlineStr">
        <is>
          <t>2순위 (유력)</t>
        </is>
      </c>
      <c r="K29" t="inlineStr">
        <is>
          <t>https://www.wanted.co.kr/company/10499</t>
        </is>
      </c>
    </row>
    <row r="30" ht="22" customHeight="1">
      <c r="A30" s="47" t="inlineStr">
        <is>
          <t>컬리 (Market Kurly)</t>
        </is>
      </c>
      <c r="B30" t="inlineStr">
        <is>
          <t>데이터사이언스</t>
        </is>
      </c>
      <c r="C30" t="inlineStr">
        <is>
          <t>고객전략팀 데이터 분석 인턴 [Data Analyst]</t>
        </is>
      </c>
      <c r="D30" t="inlineStr">
        <is>
          <t>3. 상시 / 즉시 지원 (ASAP)</t>
        </is>
      </c>
      <c r="E30" t="inlineStr">
        <is>
          <t>상시 채용</t>
        </is>
      </c>
      <c r="F30" t="inlineStr">
        <is>
          <t>3개월</t>
        </is>
      </c>
      <c r="G30" t="inlineStr">
        <is>
          <t>R, Python, Excel, 고객 분석</t>
        </is>
      </c>
      <c r="H30" t="inlineStr">
        <is>
          <t>고객 세그멘테이션, 프로모션 반응률 예측, 실험 설계
[도메인 및 비즈니스 특징] 리테일 / 이커머스</t>
        </is>
      </c>
      <c r="I30" t="inlineStr">
        <is>
          <t>미지원</t>
        </is>
      </c>
      <c r="J30" t="inlineStr">
        <is>
          <t>2순위 (유력)</t>
        </is>
      </c>
      <c r="K30" t="inlineStr">
        <is>
          <t>https://www.superookie.com/jobs?keyword=%EC%BB%AC%EB%A6%AC</t>
        </is>
      </c>
    </row>
    <row r="31" ht="22" customHeight="1">
      <c r="A31" s="47" t="inlineStr">
        <is>
          <t>클래스101</t>
        </is>
      </c>
      <c r="B31" t="inlineStr">
        <is>
          <t>데이터사이언스</t>
        </is>
      </c>
      <c r="C31" t="inlineStr">
        <is>
          <t>[인턴] Data Analyst [Data Analyst]</t>
        </is>
      </c>
      <c r="D31" t="inlineStr">
        <is>
          <t>3. 상시 / 즉시 지원 (ASAP)</t>
        </is>
      </c>
      <c r="E31" t="inlineStr">
        <is>
          <t>상시 채용</t>
        </is>
      </c>
      <c r="F31" t="inlineStr">
        <is>
          <t>3~6개월</t>
        </is>
      </c>
      <c r="G31" t="inlineStr">
        <is>
          <t>SQL 쿼리 작성, 데이터 가공</t>
        </is>
      </c>
      <c r="H31" t="inlineStr">
        <is>
          <t>로그 정합성 검증, A/B 테스트 설계, 데이터 마트 모델링
[도메인 및 비즈니스 특징] 글로벌 구독 플랫폼</t>
        </is>
      </c>
      <c r="I31" t="inlineStr">
        <is>
          <t>미지원</t>
        </is>
      </c>
      <c r="J31" t="inlineStr">
        <is>
          <t>2순위 (유력)</t>
        </is>
      </c>
      <c r="K31" t="inlineStr">
        <is>
          <t>https://www.wanted.co.kr/search?query=%ED%81%B4%EB%9E%98%EC%8A%A4101%20Data%20Analyst</t>
        </is>
      </c>
    </row>
    <row r="32" ht="22" customHeight="1">
      <c r="A32" s="47" t="inlineStr">
        <is>
          <t>뉴로핏 (Neurophet)</t>
        </is>
      </c>
      <c r="B32" t="inlineStr">
        <is>
          <t>EEG_뇌공학_BCI</t>
        </is>
      </c>
      <c r="C32" t="inlineStr">
        <is>
          <t>뇌질환 솔루션 R&amp;D (채용팀 (수시))</t>
        </is>
      </c>
      <c r="D32" t="inlineStr">
        <is>
          <t>3. 상시 / 즉시 지원 (ASAP)</t>
        </is>
      </c>
      <c r="E32" t="inlineStr">
        <is>
          <t>상시 채용</t>
        </is>
      </c>
      <c r="F32" t="inlineStr">
        <is>
          <t>스타트업 인턴십 (3~6개월)</t>
        </is>
      </c>
      <c r="G32" t="inlineStr">
        <is>
          <t>[지원 경로] 채용연계형 / 체험형 인턴
[요구 서류] 의공학, 인지신경, 파이썬 의료 데이터 분석</t>
        </is>
      </c>
      <c r="H32" t="inlineStr">
        <is>
          <t>[연구 주제 및 핵심 기술] 뇌파(EEG) 및 MRI 정량 분석, 치매/뇌졸중 진단 보조 AI</t>
        </is>
      </c>
      <c r="I32" t="inlineStr">
        <is>
          <t>미지원</t>
        </is>
      </c>
      <c r="J32" t="inlineStr">
        <is>
          <t>2순위 (유력)</t>
        </is>
      </c>
      <c r="K32" t="inlineStr">
        <is>
          <t>https://www.wanted.co.kr/search?query=%EB%89%B4%EB%A1%9C%ED%95%8F</t>
        </is>
      </c>
    </row>
    <row r="33" ht="22" customHeight="1">
      <c r="A33" s="47" t="inlineStr">
        <is>
          <t>룩시드랩스 (Looxid Labs)</t>
        </is>
      </c>
      <c r="B33" t="inlineStr">
        <is>
          <t>EEG_뇌공학_BCI</t>
        </is>
      </c>
      <c r="C33" t="inlineStr">
        <is>
          <t>생체신호 R&amp;D 본부 (채용팀 (수시))</t>
        </is>
      </c>
      <c r="D33" t="inlineStr">
        <is>
          <t>3. 상시 / 즉시 지원 (ASAP)</t>
        </is>
      </c>
      <c r="E33" t="inlineStr">
        <is>
          <t>상시 채용</t>
        </is>
      </c>
      <c r="F33" t="inlineStr">
        <is>
          <t>스타트업 인턴십 (3~6개월)</t>
        </is>
      </c>
      <c r="G33" t="inlineStr">
        <is>
          <t>[지원 경로] 스타트업 인턴/주니어 수시 채용 풀
[요구 서류] Python, SciPy, MNE, 생체신호 필터링/특징추출</t>
        </is>
      </c>
      <c r="H33" t="inlineStr">
        <is>
          <t>[연구 주제 및 핵심 기술] EEG/ECG 시계열 전처리 알고리즘, 뇌파-시선 인터페이스 인지 분석</t>
        </is>
      </c>
      <c r="I33" t="inlineStr">
        <is>
          <t>미지원</t>
        </is>
      </c>
      <c r="J33" t="inlineStr">
        <is>
          <t>2순위 (유력)</t>
        </is>
      </c>
      <c r="K33" t="inlineStr">
        <is>
          <t>https://www.wanted.co.kr/search?query=%EB%A3%A9%EC%8B%9C%EB%93%9C%EB%9E%A9%EC%8A%A4</t>
        </is>
      </c>
    </row>
    <row r="34" ht="22" customHeight="1">
      <c r="A34" s="47" t="inlineStr">
        <is>
          <t>뷰노 (VUNO)</t>
        </is>
      </c>
      <c r="B34" t="inlineStr">
        <is>
          <t>EEG_뇌공학_BCI</t>
        </is>
      </c>
      <c r="C34" t="inlineStr">
        <is>
          <t>생체신호 AI 연구팀 (채용팀 (수시))</t>
        </is>
      </c>
      <c r="D34" t="inlineStr">
        <is>
          <t>3. 상시 / 즉시 지원 (ASAP)</t>
        </is>
      </c>
      <c r="E34" t="inlineStr">
        <is>
          <t>상시 채용</t>
        </is>
      </c>
      <c r="F34" t="inlineStr">
        <is>
          <t>스타트업 인턴십 (3~6개월)</t>
        </is>
      </c>
      <c r="G34" t="inlineStr">
        <is>
          <t>[지원 경로] 수시 인재풀 등록
[요구 서류] Python, PyTorch, 시계열 신호처리 모델링</t>
        </is>
      </c>
      <c r="H34" t="inlineStr">
        <is>
          <t>[연구 주제 및 핵심 기술] 심전도(ECG) 및 활력징후(V/S) 시계열 딥러닝 예측 (DeepCARS)</t>
        </is>
      </c>
      <c r="I34" t="inlineStr">
        <is>
          <t>미지원</t>
        </is>
      </c>
      <c r="J34" t="inlineStr">
        <is>
          <t>2순위 (유력)</t>
        </is>
      </c>
      <c r="K34" t="inlineStr">
        <is>
          <t>https://vuno.co/career</t>
        </is>
      </c>
    </row>
    <row r="35" ht="22" customHeight="1">
      <c r="A35" s="47" t="inlineStr">
        <is>
          <t>토스 (비바리퍼블리카)</t>
        </is>
      </c>
      <c r="B35" t="inlineStr">
        <is>
          <t>데이터사이언스</t>
        </is>
      </c>
      <c r="C35" t="inlineStr">
        <is>
          <t>Data Analyst (Product Data Analyst) [Data Analyst]</t>
        </is>
      </c>
      <c r="D35" t="inlineStr">
        <is>
          <t>3. 상시 / 즉시 지원 (ASAP)</t>
        </is>
      </c>
      <c r="E35" t="inlineStr">
        <is>
          <t>상시 채용 (수시)</t>
        </is>
      </c>
      <c r="F35" t="inlineStr">
        <is>
          <t>3~6개월</t>
        </is>
      </c>
      <c r="G35" t="inlineStr">
        <is>
          <t>SQL, Python, 통계적 가설 검증, 코호트/퍼널 분석 역량</t>
        </is>
      </c>
      <c r="H35" t="inlineStr">
        <is>
          <t>제품 핵심 지표(Retention, Conversion) 정의, A/B 테스트 통계 검증, 데이터 기반 의사결정 모델링
[도메인] 핀테크 유니콘 / 전 국민 금융 슈퍼앱</t>
        </is>
      </c>
      <c r="I35" t="inlineStr">
        <is>
          <t>미지원</t>
        </is>
      </c>
      <c r="J35" t="inlineStr">
        <is>
          <t>1순위 (최우선)</t>
        </is>
      </c>
      <c r="K35" t="inlineStr">
        <is>
          <t>https://toss.im/career</t>
        </is>
      </c>
    </row>
    <row r="36" ht="22" customHeight="1">
      <c r="A36" s="47" t="inlineStr">
        <is>
          <t>토스뱅크 (Toss Bank)</t>
        </is>
      </c>
      <c r="B36" t="inlineStr">
        <is>
          <t>데이터사이언스</t>
        </is>
      </c>
      <c r="C36" t="inlineStr">
        <is>
          <t>Product Design Assistant (단기계약직/인턴) [Product Designer]</t>
        </is>
      </c>
      <c r="D36" t="inlineStr">
        <is>
          <t>3. 상시 / 즉시 지원 (ASAP)</t>
        </is>
      </c>
      <c r="E36" t="inlineStr">
        <is>
          <t>상시 채용 (ASAP)</t>
        </is>
      </c>
      <c r="F36" t="inlineStr">
        <is>
          <t>3개월 (단기계약직)</t>
        </is>
      </c>
      <c r="G36" t="inlineStr">
        <is>
          <t>Figma, 토스 디자인 시스템(TDS) 활용, 프로토타이핑 능력</t>
        </is>
      </c>
      <c r="H36" t="inlineStr">
        <is>
          <t>제품 디자이너 어시스턴트, 인터랙션 검증, 디자인 시스템 컴포넌트 에셋 구축
[도메인] 핀테크 / 제품 디자인 실무 현장 실습</t>
        </is>
      </c>
      <c r="I36" t="inlineStr">
        <is>
          <t>미지원</t>
        </is>
      </c>
      <c r="J36" t="inlineStr">
        <is>
          <t>1순위 (최우선)</t>
        </is>
      </c>
      <c r="K36" t="inlineStr">
        <is>
          <t>https://toss.im/career</t>
        </is>
      </c>
    </row>
    <row r="37" ht="22" customHeight="1">
      <c r="A37" s="47" t="inlineStr">
        <is>
          <t>네이버 (NAVER)</t>
        </is>
      </c>
      <c r="B37" t="inlineStr">
        <is>
          <t>데이터사이언스</t>
        </is>
      </c>
      <c r="C37" t="inlineStr">
        <is>
          <t>NAVER 하계/체험형 인턴십 (프로덕트 트랙 - 기획/UX) [Business Analyst]</t>
        </is>
      </c>
      <c r="D37" t="inlineStr">
        <is>
          <t>3. 상시 / 즉시 지원 (ASAP)</t>
        </is>
      </c>
      <c r="E37" t="inlineStr">
        <is>
          <t>수시 채용 / 2026년 가을</t>
        </is>
      </c>
      <c r="F37" t="inlineStr">
        <is>
          <t>2~3개월 (체험형)</t>
        </is>
      </c>
      <c r="G37" t="inlineStr">
        <is>
          <t>사용자 데이터 기반 서비스 기획, UX/UI 리서치 역량, 인지과학 우대</t>
        </is>
      </c>
      <c r="H37" t="inlineStr">
        <is>
          <t>네이버 플랫폼 서비스 기획, 사용자 데이터 정량/정성 분석, 기능 사용성 검증
[도메인] 국내 1위 포털 &amp; AI 검색/커머스 생태계</t>
        </is>
      </c>
      <c r="I37" t="inlineStr">
        <is>
          <t>미지원</t>
        </is>
      </c>
      <c r="J37" t="inlineStr">
        <is>
          <t>1순위 (최우선)</t>
        </is>
      </c>
      <c r="K37" t="inlineStr">
        <is>
          <t>https://recruit.navercorp.com/</t>
        </is>
      </c>
    </row>
    <row r="38" ht="22" customHeight="1">
      <c r="A38" s="47" t="inlineStr">
        <is>
          <t>카카오페이 (Kakao Pay)</t>
        </is>
      </c>
      <c r="B38" t="inlineStr">
        <is>
          <t>데이터사이언스</t>
        </is>
      </c>
      <c r="C38" t="inlineStr">
        <is>
          <t>데이터 분석가 (Data Analyst) [Data Analyst]</t>
        </is>
      </c>
      <c r="D38" t="inlineStr">
        <is>
          <t>3. 상시 / 즉시 지원 (ASAP)</t>
        </is>
      </c>
      <c r="E38" t="inlineStr">
        <is>
          <t>상시 채용 (수시)</t>
        </is>
      </c>
      <c r="F38" t="inlineStr">
        <is>
          <t>3~6개월</t>
        </is>
      </c>
      <c r="G38" t="inlineStr">
        <is>
          <t>SQL, Python, 통계 분석 모델링, 데이터 시각화</t>
        </is>
      </c>
      <c r="H38" t="inlineStr">
        <is>
          <t>결제/송금 금융 트랜잭션 데이터 분석, 사용자 세그멘테이션 및 리텐션 지표 발굴
[도메인] 테크핀 플랫폼 / 카카오 공동체 금융 허브</t>
        </is>
      </c>
      <c r="I38" t="inlineStr">
        <is>
          <t>미지원</t>
        </is>
      </c>
      <c r="J38" t="inlineStr">
        <is>
          <t>1순위 (최우선)</t>
        </is>
      </c>
      <c r="K38" t="inlineStr">
        <is>
          <t>https://careers.kakao.com/</t>
        </is>
      </c>
    </row>
    <row r="39" ht="22" customHeight="1">
      <c r="A39" s="47" t="inlineStr">
        <is>
          <t>네이버 (NAVER)</t>
        </is>
      </c>
      <c r="B39" t="inlineStr">
        <is>
          <t>AI_Agent_LLM</t>
        </is>
      </c>
      <c r="C39" t="inlineStr">
        <is>
          <t>[인턴] Data Science &amp; AI/ML 엔지니어</t>
        </is>
      </c>
      <c r="D39" t="inlineStr">
        <is>
          <t>3. 상시 / 즉시 지원 (ASAP)</t>
        </is>
      </c>
      <c r="E39" t="inlineStr">
        <is>
          <t>수시 채용 (ASAP)</t>
        </is>
      </c>
      <c r="F39" t="inlineStr">
        <is>
          <t>3~6개월 (체험형/전환형)</t>
        </is>
      </c>
      <c r="G39" t="inlineStr">
        <is>
          <t>Python, PyTorch, LLM/NLP 모델 구조 이해, 프롬프트 엔지니어링</t>
        </is>
      </c>
      <c r="H39" t="inlineStr">
        <is>
          <t>하이퍼클로바X 모델 미세조정(Fine-tuning), 생성형 AI 서비스 파이프라인 개발 및 평가 자동화
[도메인] 초대규모 언어모델(LLM) 파운데이션 리서치</t>
        </is>
      </c>
      <c r="I39" t="inlineStr">
        <is>
          <t>미지원</t>
        </is>
      </c>
      <c r="J39" t="inlineStr">
        <is>
          <t>1순위 (최우선)</t>
        </is>
      </c>
      <c r="K39" t="inlineStr">
        <is>
          <t>https://recruit.navercorp.com/</t>
        </is>
      </c>
    </row>
    <row r="40" ht="22" customHeight="1">
      <c r="A40" s="47" t="inlineStr">
        <is>
          <t>카카오 (Kakao)</t>
        </is>
      </c>
      <c r="B40" t="inlineStr">
        <is>
          <t>AI_Agent_LLM</t>
        </is>
      </c>
      <c r="C40" t="inlineStr">
        <is>
          <t>[인턴] AI Research Engineer (Search &amp; Agent)</t>
        </is>
      </c>
      <c r="D40" t="inlineStr">
        <is>
          <t>3. 상시 / 즉시 지원 (ASAP)</t>
        </is>
      </c>
      <c r="E40" t="inlineStr">
        <is>
          <t>상시 채용 (수시)</t>
        </is>
      </c>
      <c r="F40" t="inlineStr">
        <is>
          <t>3~6개월 (인턴/주니어)</t>
        </is>
      </c>
      <c r="G40" t="inlineStr">
        <is>
          <t>Python, PyTorch, 에이전트 프레임워크(LangChain), 정보 검색(IR)</t>
        </is>
      </c>
      <c r="H40" t="inlineStr">
        <is>
          <t>카카오톡 기반 대화형 AI Agent 워크플로우 연구, 멀티모달 상호작용 설계 및 평가
[도메인] 카카오 AI 에이전트 서비스 / 전 국민 메신저 인터페이스</t>
        </is>
      </c>
      <c r="I40" t="inlineStr">
        <is>
          <t>미지원</t>
        </is>
      </c>
      <c r="J40" t="inlineStr">
        <is>
          <t>1순위 (최우선)</t>
        </is>
      </c>
      <c r="K40" t="inlineStr">
        <is>
          <t>https://careers.kakao.com/</t>
        </is>
      </c>
    </row>
    <row r="41" ht="22" customHeight="1">
      <c r="A41" s="47" t="inlineStr">
        <is>
          <t>당근 (Daangn)</t>
        </is>
      </c>
      <c r="B41" t="inlineStr">
        <is>
          <t>AI_Agent_LLM</t>
        </is>
      </c>
      <c r="C41" t="inlineStr">
        <is>
          <t>[인턴] Machine Learning Engineer</t>
        </is>
      </c>
      <c r="D41" t="inlineStr">
        <is>
          <t>3. 상시 / 즉시 지원 (ASAP)</t>
        </is>
      </c>
      <c r="E41" t="inlineStr">
        <is>
          <t>상시 채용 (ASAP)</t>
        </is>
      </c>
      <c r="F41" t="inlineStr">
        <is>
          <t>3개월 (채용연계형/체험형)</t>
        </is>
      </c>
      <c r="G41" t="inlineStr">
        <is>
          <t>Python, PyTorch/TensorFlow, 추천 시스템(RecSys), SQL</t>
        </is>
      </c>
      <c r="H41" t="inlineStr">
        <is>
          <t>당근 중고거래 및 동네생활 피드 개인화 추천 모델링, 서빙 최적화 및 A/B 테스트
[도메인] 하이퍼로컬 추천/검색 알고리즘 고도화</t>
        </is>
      </c>
      <c r="I41" t="inlineStr">
        <is>
          <t>미지원</t>
        </is>
      </c>
      <c r="J41" t="inlineStr">
        <is>
          <t>1순위 (최우선)</t>
        </is>
      </c>
      <c r="K41" t="inlineStr">
        <is>
          <t>https://about.daangn.com/jobs</t>
        </is>
      </c>
    </row>
    <row r="42" ht="22" customHeight="1">
      <c r="A42" s="47" t="inlineStr">
        <is>
          <t>LG AI연구원</t>
        </is>
      </c>
      <c r="B42" t="inlineStr">
        <is>
          <t>대기업_해외대</t>
        </is>
      </c>
      <c r="C42" t="inlineStr">
        <is>
          <t>글로벌 Summer Research Intern - Foundation Model, 언어, 비전, Brain-inspired AI</t>
        </is>
      </c>
      <c r="D42" t="inlineStr">
        <is>
          <t>4. 2026년 12월 ~ 2027년 1월 (겨울 접수)</t>
        </is>
      </c>
      <c r="E42" t="inlineStr">
        <is>
          <t>2026년 12월 ~ 2027년 1월 (조기) / 수시</t>
        </is>
      </c>
      <c r="F42" t="inlineStr">
        <is>
          <t>하계 8주 (마곡 사이언스파크)</t>
        </is>
      </c>
      <c r="G42" t="inlineStr">
        <is>
          <t>PyTorch 딥러닝 연구 역량 보유 학·석사, 최상위 컨퍼런스 논문 우대</t>
        </is>
      </c>
      <c r="H42" t="inlineStr">
        <is>
          <t>[전형 단계] 서류 심사 → 코딩테스트 → 연구 기술면접 (2회)
[전환 및 혜택] 정규 연구원 전환 및 글로벌 펠로우십 연계</t>
        </is>
      </c>
      <c r="I42" t="inlineStr">
        <is>
          <t>미지원</t>
        </is>
      </c>
      <c r="J42" t="inlineStr">
        <is>
          <t>1순위 (최우선)</t>
        </is>
      </c>
      <c r="K42" t="inlineStr">
        <is>
          <t>https://careers.lg.com/</t>
        </is>
      </c>
    </row>
    <row r="43" ht="22" customHeight="1">
      <c r="A43" s="47" t="inlineStr">
        <is>
          <t>삼성전자 DS부문</t>
        </is>
      </c>
      <c r="B43" t="inlineStr">
        <is>
          <t>대기업_해외대</t>
        </is>
      </c>
      <c r="C43" t="inlineStr">
        <is>
          <t>해외대 학부 하계 인턴십 - System LSI, 반도체 AI 연구소, 파운드리 SW</t>
        </is>
      </c>
      <c r="D43" t="inlineStr">
        <is>
          <t>5. 2027년 2~3월 (대기업 상반기)</t>
        </is>
      </c>
      <c r="E43" t="inlineStr">
        <is>
          <t>2027년 2월 말 ~ 3월 초</t>
        </is>
      </c>
      <c r="F43" t="inlineStr">
        <is>
          <t>하계 6주 (7월 초 ~ 8월 중순)</t>
        </is>
      </c>
      <c r="G43" t="inlineStr">
        <is>
          <t>해외대 학부 재학생, 전기전자/컴공/데이터/뇌공학 전공</t>
        </is>
      </c>
      <c r="H43" t="inlineStr">
        <is>
          <t>[전형 단계] 지원서 접수 → GSAT/SW테스트 → 화상 면접
[전환 및 혜택] 정규직 신입 전환 기회 부여</t>
        </is>
      </c>
      <c r="I43" t="inlineStr">
        <is>
          <t>미지원</t>
        </is>
      </c>
      <c r="J43" t="inlineStr">
        <is>
          <t>1순위 (최우선)</t>
        </is>
      </c>
      <c r="K43" t="inlineStr">
        <is>
          <t>https://www.samsungcareers.com/</t>
        </is>
      </c>
    </row>
    <row r="44" ht="22" customHeight="1">
      <c r="A44" s="47" t="inlineStr">
        <is>
          <t>삼성전자 DX부문</t>
        </is>
      </c>
      <c r="B44" t="inlineStr">
        <is>
          <t>대기업_해외대</t>
        </is>
      </c>
      <c r="C44" t="inlineStr">
        <is>
          <t>해외대 학부 하계 인턴십 - Samsung Research, MX사업부, 빅데이터센터, 영상디스플레이</t>
        </is>
      </c>
      <c r="D44" t="inlineStr">
        <is>
          <t>5. 2027년 2~3월 (대기업 상반기)</t>
        </is>
      </c>
      <c r="E44" t="inlineStr">
        <is>
          <t>2027년 2월 말 ~ 3월 초</t>
        </is>
      </c>
      <c r="F44" t="inlineStr">
        <is>
          <t>하계 6주 (7월 초 ~ 8월 중순)</t>
        </is>
      </c>
      <c r="G44" t="inlineStr">
        <is>
          <t>해외 대학 학부 재학생 (2028년 6월 졸업 예정자 완벽 부합), 군필자</t>
        </is>
      </c>
      <c r="H44" t="inlineStr">
        <is>
          <t>[전형 단계] 지원서 접수 → 온라인 GSAT / SW테스트 → 화상 면접 → 인턴 입과
[전환 및 혜택] 인턴 수료 평가 후 정규직 신입 입사 확정 (전환율 매우 높음)</t>
        </is>
      </c>
      <c r="I44" t="inlineStr">
        <is>
          <t>미지원</t>
        </is>
      </c>
      <c r="J44" t="inlineStr">
        <is>
          <t>1순위 (최우선)</t>
        </is>
      </c>
      <c r="K44" t="inlineStr">
        <is>
          <t>https://www.samsungcareers.com/</t>
        </is>
      </c>
    </row>
    <row r="45" ht="22" customHeight="1">
      <c r="A45" s="47" t="inlineStr">
        <is>
          <t>KIST 뇌과학연구소 (BSI)</t>
        </is>
      </c>
      <c r="B45" t="inlineStr">
        <is>
          <t>EEG_뇌공학_BCI</t>
        </is>
      </c>
      <c r="C45" t="inlineStr">
        <is>
          <t>바이오닉스연구센터 (김래현 책임연구원)</t>
        </is>
      </c>
      <c r="D45" t="inlineStr">
        <is>
          <t>6. 2027년 3~4월 (현대차/연구실 사전컨택)</t>
        </is>
      </c>
      <c r="E45" t="inlineStr">
        <is>
          <t>2027년 2~4월 (방학 2~3달 전)</t>
        </is>
      </c>
      <c r="F45" t="inlineStr">
        <is>
          <t>하계 연구 인턴 / 학부 연구생</t>
        </is>
      </c>
      <c r="G45" t="inlineStr">
        <is>
          <t>[지원 경로] 학부 연구연수생 (PI 직접 컨택 후 과제 TO 배정)
[요구 서류] CV, 뇌파 분석 경험, 영문 커버레터, 가용 기간 명시</t>
        </is>
      </c>
      <c r="H45" t="inlineStr">
        <is>
          <t>[연구 주제 및 핵심 기술] Motor Imagery 기반 외골격 로봇 BCI 제어, 임상 폐루프 EEG</t>
        </is>
      </c>
      <c r="I45" t="inlineStr">
        <is>
          <t>미지원</t>
        </is>
      </c>
      <c r="J45" t="inlineStr">
        <is>
          <t>1순위 (최우선)</t>
        </is>
      </c>
      <c r="K45" t="inlineStr">
        <is>
          <t>https://www.kist.re.kr/ko/research/divisions/brain-science.do</t>
        </is>
      </c>
    </row>
    <row r="46" ht="22" customHeight="1">
      <c r="A46" s="47" t="inlineStr">
        <is>
          <t>KIST 뇌과학연구소 (BSI)</t>
        </is>
      </c>
      <c r="B46" t="inlineStr">
        <is>
          <t>EEG_뇌공학_BCI</t>
        </is>
      </c>
      <c r="C46" t="inlineStr">
        <is>
          <t>바이오마이크로시스템연구단 (조일주 단장 / 이창혁 박사)</t>
        </is>
      </c>
      <c r="D46" t="inlineStr">
        <is>
          <t>6. 2027년 3~4월 (현대차/연구실 사전컨택)</t>
        </is>
      </c>
      <c r="E46" t="inlineStr">
        <is>
          <t>2027년 2~4월</t>
        </is>
      </c>
      <c r="F46" t="inlineStr">
        <is>
          <t>하계 연구 인턴 / 학부 연구생</t>
        </is>
      </c>
      <c r="G46" t="inlineStr">
        <is>
          <t>[지원 경로] 연구연수생 개별 컨택
[요구 서류] 의공학/생체신호 기초 지식, 연구 몰입도</t>
        </is>
      </c>
      <c r="H46" t="inlineStr">
        <is>
          <t>[연구 주제 및 핵심 기술] 반도체 기반 광-전자 초소형 BCI 칩, 뇌신경 전극 프로브</t>
        </is>
      </c>
      <c r="I46" t="inlineStr">
        <is>
          <t>미지원</t>
        </is>
      </c>
      <c r="J46" t="inlineStr">
        <is>
          <t>1순위 (최우선)</t>
        </is>
      </c>
      <c r="K46" t="inlineStr">
        <is>
          <t>https://www.kist.re.kr/ko/research/divisions/brain-science.do</t>
        </is>
      </c>
    </row>
    <row r="47" ht="22" customHeight="1">
      <c r="A47" s="47" t="inlineStr">
        <is>
          <t>고려대학교 뇌공학과</t>
        </is>
      </c>
      <c r="B47" t="inlineStr">
        <is>
          <t>EEG_뇌공학_BCI</t>
        </is>
      </c>
      <c r="C47" t="inlineStr">
        <is>
          <t>Pattern Recognition &amp; ML Lab (PRML) (이성환 교수)</t>
        </is>
      </c>
      <c r="D47" t="inlineStr">
        <is>
          <t>6. 2027년 3~4월 (현대차/연구실 사전컨택)</t>
        </is>
      </c>
      <c r="E47" t="inlineStr">
        <is>
          <t>2027년 3~4월 (사전 이메일)</t>
        </is>
      </c>
      <c r="F47" t="inlineStr">
        <is>
          <t>하계 연구 인턴 / 학부 연구생</t>
        </is>
      </c>
      <c r="G47" t="inlineStr">
        <is>
          <t>[지원 경로] 연구실(PI) 직접 컨택 (학부 연구생/방학 인턴)
[요구 서류] Academic CV, MNE-Python 뇌파 프로젝트 포트폴리오</t>
        </is>
      </c>
      <c r="H47" t="inlineStr">
        <is>
          <t>[연구 주제 및 핵심 기술] 한국 BCI 최고 권위: Motor Imagery EEG 디코딩, Brain-to-Speech</t>
        </is>
      </c>
      <c r="I47" t="inlineStr">
        <is>
          <t>미지원</t>
        </is>
      </c>
      <c r="J47" t="inlineStr">
        <is>
          <t>1순위 (최우선)</t>
        </is>
      </c>
      <c r="K47" t="inlineStr">
        <is>
          <t>http://pr.korea.ac.kr/</t>
        </is>
      </c>
    </row>
    <row r="48" ht="22" customHeight="1">
      <c r="A48" s="47" t="inlineStr">
        <is>
          <t>고려대학교 뇌공학과</t>
        </is>
      </c>
      <c r="B48" t="inlineStr">
        <is>
          <t>EEG_뇌공학_BCI</t>
        </is>
      </c>
      <c r="C48" t="inlineStr">
        <is>
          <t>Machine Intelligence Lab (석흥일 교수)</t>
        </is>
      </c>
      <c r="D48" t="inlineStr">
        <is>
          <t>6. 2027년 3~4월 (현대차/연구실 사전컨택)</t>
        </is>
      </c>
      <c r="E48" t="inlineStr">
        <is>
          <t>2027년 3~4월</t>
        </is>
      </c>
      <c r="F48" t="inlineStr">
        <is>
          <t>하계 연구 인턴 / 학부 연구생</t>
        </is>
      </c>
      <c r="G48" t="inlineStr">
        <is>
          <t>[지원 경로] 연구실 직접 컨택 또는 대학원 인턴십
[요구 서류] PyTorch, 다채널 시계열 신호처리, 통계적 기계학습</t>
        </is>
      </c>
      <c r="H48" t="inlineStr">
        <is>
          <t>[연구 주제 및 핵심 기술] 멀티모달 뇌영상 AI (EEG, fMRI, MRI), 설명가능 의료 AI</t>
        </is>
      </c>
      <c r="I48" t="inlineStr">
        <is>
          <t>미지원</t>
        </is>
      </c>
      <c r="J48" t="inlineStr">
        <is>
          <t>1순위 (최우선)</t>
        </is>
      </c>
      <c r="K48" t="inlineStr">
        <is>
          <t>https://milab.korea.ac.kr/</t>
        </is>
      </c>
    </row>
    <row r="49" ht="22" customHeight="1">
      <c r="A49" s="47" t="inlineStr">
        <is>
          <t>현대자동차</t>
        </is>
      </c>
      <c r="B49" t="inlineStr">
        <is>
          <t>대기업_해외대</t>
        </is>
      </c>
      <c r="C49" t="inlineStr">
        <is>
          <t>H-Experience 해외대 인턴십 - SDV(차량 데이터 분석), 자율주행 SW, Robotics, Feature UX</t>
        </is>
      </c>
      <c r="D49" t="inlineStr">
        <is>
          <t>6. 2027년 3~4월 (현대차/연구실 사전컨택)</t>
        </is>
      </c>
      <c r="E49" t="inlineStr">
        <is>
          <t>2027년 4월 초 (약 2주간)</t>
        </is>
      </c>
      <c r="F49" t="inlineStr">
        <is>
          <t>하계 5~8주 (7월 ~ 8월)</t>
        </is>
      </c>
      <c r="G49" t="inlineStr">
        <is>
          <t>해외 학사/석사 재학생 및 1년 이내 졸업자, 한국어/영어 능통</t>
        </is>
      </c>
      <c r="H49" t="inlineStr">
        <is>
          <t>[전형 단계] 서류 전형 → 코딩테스트 / AI 역량검사 → 화상 실무면접
[전환 및 혜택] 우수 수료자 대상 최종면접 후 정규직 채용</t>
        </is>
      </c>
      <c r="I49" t="inlineStr">
        <is>
          <t>미지원</t>
        </is>
      </c>
      <c r="J49" t="inlineStr">
        <is>
          <t>1순위 (최우선)</t>
        </is>
      </c>
      <c r="K49" t="inlineStr">
        <is>
          <t>https://talent.hyundai.com/</t>
        </is>
      </c>
    </row>
    <row r="50" ht="22" customHeight="1">
      <c r="A50" s="47" t="inlineStr">
        <is>
          <t>SK텔레콤</t>
        </is>
      </c>
      <c r="B50" t="inlineStr">
        <is>
          <t>대기업_해외대</t>
        </is>
      </c>
      <c r="C50" t="inlineStr">
        <is>
          <t>Junior Talent (Global Track) - AI Agent 개발, Telco AI, Tech Infra, Data Analytics</t>
        </is>
      </c>
      <c r="D50" t="inlineStr">
        <is>
          <t>6. 2027년 3~4월 (현대차/연구실 사전컨택)</t>
        </is>
      </c>
      <c r="E50" t="inlineStr">
        <is>
          <t>매년 8~9월 (메인) 및 봄 수시</t>
        </is>
      </c>
      <c r="F50" t="inlineStr">
        <is>
          <t>2개월 인턴십 또는 즉시 입사</t>
        </is>
      </c>
      <c r="G50" t="inlineStr">
        <is>
          <t>1년 이내 학사 졸업예정자 (전공 무관, 실무 데이터/SW 역량)</t>
        </is>
      </c>
      <c r="H50" t="inlineStr">
        <is>
          <t>[전형 단계] 서류 및 수강과목 제출 (자기소개서 면제) → SKCT 인적성 → 직무 인터뷰
[전환 및 혜택] 채용연계형 인턴 후 신입 입사</t>
        </is>
      </c>
      <c r="I50" t="inlineStr">
        <is>
          <t>미지원</t>
        </is>
      </c>
      <c r="J50" t="inlineStr">
        <is>
          <t>2순위 (유력)</t>
        </is>
      </c>
      <c r="K50" t="inlineStr">
        <is>
          <t>https://careers.sktelecom.com/</t>
        </is>
      </c>
    </row>
    <row r="51" ht="22" customHeight="1">
      <c r="A51" s="47" t="inlineStr">
        <is>
          <t>IBS (기초과학연구원)</t>
        </is>
      </c>
      <c r="B51" t="inlineStr">
        <is>
          <t>EEG_뇌공학_BCI</t>
        </is>
      </c>
      <c r="C51" t="inlineStr">
        <is>
          <t>기억 및 교세포 연구단 (구 인지및사회성) (이창준 단장 (교세포과학))</t>
        </is>
      </c>
      <c r="D51" t="inlineStr">
        <is>
          <t>7. 2027년 5월 (KAIST/IBS 하계인턴)</t>
        </is>
      </c>
      <c r="E51" t="inlineStr">
        <is>
          <t>2027년 5월 초</t>
        </is>
      </c>
      <c r="F51" t="inlineStr">
        <is>
          <t>하계 4~8주 연구 인턴</t>
        </is>
      </c>
      <c r="G51" t="inlineStr">
        <is>
          <t>[지원 경로] IBS 생명과학 클러스터 하계 인턴십 / PI 직접 컨택
[요구 서류] 신경과학/인지과학 전공 배경, 데이터 분석</t>
        </is>
      </c>
      <c r="H51" t="inlineStr">
        <is>
          <t>[연구 주제 및 핵심 기술] 알츠하이머, 기억 인코딩, 교세포-신경세포 상호작용</t>
        </is>
      </c>
      <c r="I51" t="inlineStr">
        <is>
          <t>미지원</t>
        </is>
      </c>
      <c r="J51" t="inlineStr">
        <is>
          <t>1순위 (최우선)</t>
        </is>
      </c>
      <c r="K51" t="inlineStr">
        <is>
          <t>https://centers.ibs.re.kr/glia</t>
        </is>
      </c>
    </row>
    <row r="52" ht="22" customHeight="1">
      <c r="A52" s="47" t="inlineStr">
        <is>
          <t>KAIST 바이오및뇌공학과</t>
        </is>
      </c>
      <c r="B52" t="inlineStr">
        <is>
          <t>EEG_뇌공학_BCI</t>
        </is>
      </c>
      <c r="C52" t="inlineStr">
        <is>
          <t>Brain &amp; Machine Intelligence Lab (이상완 교수)</t>
        </is>
      </c>
      <c r="D52" t="inlineStr">
        <is>
          <t>7. 2027년 5월 (KAIST/IBS 하계인턴)</t>
        </is>
      </c>
      <c r="E52" t="inlineStr">
        <is>
          <t>2027년 5월 초 (하계 4~8주)</t>
        </is>
      </c>
      <c r="F52" t="inlineStr">
        <is>
          <t>하계 4~8주 연구 인턴</t>
        </is>
      </c>
      <c r="G52" t="inlineStr">
        <is>
          <t>[지원 경로] TrYBBE 학부생 연구 인턴십 (해외대 재학생 정식 지원 허용)
[요구 서류] CV, 성적표, 연구계획서 (Python, PyTorch, 강화학습)</t>
        </is>
      </c>
      <c r="H52" t="inlineStr">
        <is>
          <t>[연구 주제 및 핵심 기술] 강화학습, 뇌-기계 가치 정렬(Neural Value Alignment), BCI 시스템</t>
        </is>
      </c>
      <c r="I52" t="inlineStr">
        <is>
          <t>미지원</t>
        </is>
      </c>
      <c r="J52" t="inlineStr">
        <is>
          <t>1순위 (최우선)</t>
        </is>
      </c>
      <c r="K52" t="inlineStr">
        <is>
          <t>https://bioeng.kaist.ac.kr/</t>
        </is>
      </c>
    </row>
    <row r="53" ht="22" customHeight="1">
      <c r="A53" s="47" t="inlineStr">
        <is>
          <t>KAIST 바이오및뇌공학과</t>
        </is>
      </c>
      <c r="B53" t="inlineStr">
        <is>
          <t>EEG_뇌공학_BCI</t>
        </is>
      </c>
      <c r="C53" t="inlineStr">
        <is>
          <t>Decision Neuroscience Lab (정재승 교수)</t>
        </is>
      </c>
      <c r="D53" t="inlineStr">
        <is>
          <t>7. 2027년 5월 (KAIST/IBS 하계인턴)</t>
        </is>
      </c>
      <c r="E53" t="inlineStr">
        <is>
          <t>2027년 5월 초 (공식) / 3~4월 (개별)</t>
        </is>
      </c>
      <c r="F53" t="inlineStr">
        <is>
          <t>하계 4~8주 연구 인턴</t>
        </is>
      </c>
      <c r="G53" t="inlineStr">
        <is>
          <t>[지원 경로] TrYBBE 학부생 프로그램 또는 랩 개별 인턴
[요구 서류] 인지신경과학 배경, 생체신호 분석(Python/MATLAB)</t>
        </is>
      </c>
      <c r="H53" t="inlineStr">
        <is>
          <t>[연구 주제 및 핵심 기술] EEG/fMRI 비선형 동역학, Brain-Robot Interface, 의사결정 모델링</t>
        </is>
      </c>
      <c r="I53" t="inlineStr">
        <is>
          <t>미지원</t>
        </is>
      </c>
      <c r="J53" t="inlineStr">
        <is>
          <t>1순위 (최우선)</t>
        </is>
      </c>
      <c r="K53" t="inlineStr">
        <is>
          <t>https://bioeng.kaist.ac.kr/</t>
        </is>
      </c>
    </row>
    <row r="54" ht="22" customHeight="1">
      <c r="A54" s="47" t="inlineStr">
        <is>
          <t>서울대학교 뇌인지과학과</t>
        </is>
      </c>
      <c r="B54" t="inlineStr">
        <is>
          <t>EEG_뇌공학_BCI</t>
        </is>
      </c>
      <c r="C54" t="inlineStr">
        <is>
          <t>자연과학대학 학부생 인턴십 (이상훈 교수 / 장병탁 교수)</t>
        </is>
      </c>
      <c r="D54" t="inlineStr">
        <is>
          <t>7. 2027년 5월 (KAIST/IBS 하계인턴)</t>
        </is>
      </c>
      <c r="E54" t="inlineStr">
        <is>
          <t>2027년 4월 말 ~ 5월 초</t>
        </is>
      </c>
      <c r="F54" t="inlineStr">
        <is>
          <t>하계 4~8주 연구 인턴</t>
        </is>
      </c>
      <c r="G54" t="inlineStr">
        <is>
          <t>[지원 경로] 서울대 자연대 인턴십 프로그램 (국외 대학 소속자 지원 가능)
[요구 서류] 재학증명서, 성적표, 출입국사실증명원, 연구계획서</t>
        </is>
      </c>
      <c r="H54" t="inlineStr">
        <is>
          <t>[연구 주제 및 핵심 기술] 계산적 fMRI, 시각 인지 모델링, Brain-inspired 인지 AI</t>
        </is>
      </c>
      <c r="I54" t="inlineStr">
        <is>
          <t>미지원</t>
        </is>
      </c>
      <c r="J54" t="inlineStr">
        <is>
          <t>1순위 (최우선)</t>
        </is>
      </c>
      <c r="K54" t="inlineStr">
        <is>
          <t>https://cns.snu.ac.kr/</t>
        </is>
      </c>
    </row>
    <row r="55" ht="22" customHeight="1">
      <c r="A55" s="47" t="inlineStr">
        <is>
          <t>Bain &amp; Company Seoul</t>
        </is>
      </c>
      <c r="B55" t="inlineStr">
        <is>
          <t>전략컨설팅_RA</t>
        </is>
      </c>
      <c r="C55" t="inlineStr">
        <is>
          <t>Associate Consultant Trainee (ACT)</t>
        </is>
      </c>
      <c r="D55" t="inlineStr">
        <is>
          <t>8. 연중 수시 / 분기별 선발 (전략컨설팅 RA)</t>
        </is>
      </c>
      <c r="E55" t="inlineStr">
        <is>
          <t>연 3회 정기 (봄/여름/겨울) &amp; 수시</t>
        </is>
      </c>
      <c r="F55" t="inlineStr">
        <is>
          <t>2~3개월 연속</t>
        </is>
      </c>
      <c r="G55" t="inlineStr">
        <is>
          <t>학부/대학원생 (전공 무관), 논리적 사고력, 한국어/영어 능통</t>
        </is>
      </c>
      <c r="H55" t="inlineStr">
        <is>
          <t>실제 클라이언트 케이스 투입, 정량 데이터/재무 분석, 산업 리서치
[지원 방법] Bain Careers 온라인 또는 Recruiting.Seoul@Bain.com</t>
        </is>
      </c>
      <c r="I55" t="inlineStr">
        <is>
          <t>미지원</t>
        </is>
      </c>
      <c r="J55" t="inlineStr">
        <is>
          <t>1순위 (최우선)</t>
        </is>
      </c>
      <c r="K55" t="inlineStr">
        <is>
          <t>https://www.bain.com/careers/roles/act/</t>
        </is>
      </c>
    </row>
    <row r="56" ht="22" customHeight="1">
      <c r="A56" s="47" t="inlineStr">
        <is>
          <t>Boston Consulting Group (BCG)</t>
        </is>
      </c>
      <c r="B56" t="inlineStr">
        <is>
          <t>전략컨설팅_RA</t>
        </is>
      </c>
      <c r="C56" t="inlineStr">
        <is>
          <t>Summer Associate Program</t>
        </is>
      </c>
      <c r="D56" t="inlineStr">
        <is>
          <t>8. 연중 수시 / 분기별 선발 (전략컨설팅 RA)</t>
        </is>
      </c>
      <c r="E56" t="inlineStr">
        <is>
          <t>연 1회 정기 공채</t>
        </is>
      </c>
      <c r="F56" t="inlineStr">
        <is>
          <t>8주 (하계)</t>
        </is>
      </c>
      <c r="G56" t="inlineStr">
        <is>
          <t>학부 페널티메이트 재학생, 케이스 인터뷰 통과자</t>
        </is>
      </c>
      <c r="H56" t="inlineStr">
        <is>
          <t>전략 컨설팅 프로젝트 핵심 팀원 투입, 우수자 리턴 오퍼
[지원 방법] BCG Careers Korea</t>
        </is>
      </c>
      <c r="I56" t="inlineStr">
        <is>
          <t>미지원</t>
        </is>
      </c>
      <c r="J56" t="inlineStr">
        <is>
          <t>1순위 (최우선)</t>
        </is>
      </c>
      <c r="K56" t="inlineStr">
        <is>
          <t>https://careers.bcg.com/</t>
        </is>
      </c>
    </row>
    <row r="57" ht="22" customHeight="1">
      <c r="A57" s="47" t="inlineStr">
        <is>
          <t>Arthur D. Little (ADL Korea)</t>
        </is>
      </c>
      <c r="B57" t="inlineStr">
        <is>
          <t>전략컨설팅_RA</t>
        </is>
      </c>
      <c r="C57" t="inlineStr">
        <is>
          <t>Research Associate (RA) - 전환형</t>
        </is>
      </c>
      <c r="D57" t="inlineStr">
        <is>
          <t>8. 연중 수시 / 분기별 선발 (전략컨설팅 RA)</t>
        </is>
      </c>
      <c r="E57" t="inlineStr">
        <is>
          <t>상시 채용</t>
        </is>
      </c>
      <c r="F57" t="inlineStr">
        <is>
          <t>3~6개월</t>
        </is>
      </c>
      <c r="G57" t="inlineStr">
        <is>
          <t>학·석사 졸업(예정)자, 영문 리서치 및 코딩 우대</t>
        </is>
      </c>
      <c r="H57" t="inlineStr">
        <is>
          <t>신사업 전략 리서치, 인터뷰, 데이터 분석 (조기 정규직 전환)
[지원 방법] careers.korea@adlittle.com 영문 Resume 제출</t>
        </is>
      </c>
      <c r="I57" t="inlineStr">
        <is>
          <t>미지원</t>
        </is>
      </c>
      <c r="J57" t="inlineStr">
        <is>
          <t>2순위 (유력)</t>
        </is>
      </c>
      <c r="K57" t="inlineStr">
        <is>
          <t>https://www.adlittle.com/en/careers</t>
        </is>
      </c>
    </row>
    <row r="58" ht="22" customHeight="1">
      <c r="A58" s="47" t="inlineStr">
        <is>
          <t>Boston Consulting Group (BCG)</t>
        </is>
      </c>
      <c r="B58" t="inlineStr">
        <is>
          <t>전략컨설팅_RA</t>
        </is>
      </c>
      <c r="C58" t="inlineStr">
        <is>
          <t>Project RA / Project Intern</t>
        </is>
      </c>
      <c r="D58" t="inlineStr">
        <is>
          <t>8. 연중 수시 / 분기별 선발 (전략컨설팅 RA)</t>
        </is>
      </c>
      <c r="E58" t="inlineStr">
        <is>
          <t>수시 채용</t>
        </is>
      </c>
      <c r="F58" t="inlineStr">
        <is>
          <t>2~3개월 (프로젝트)</t>
        </is>
      </c>
      <c r="G58" t="inlineStr">
        <is>
          <t>학부생, 엑셀/데이터 분석 숙련자</t>
        </is>
      </c>
      <c r="H58" t="inlineStr">
        <is>
          <t>데이터 수집/정제, 시장 규모 추정, 슬라이드 구조화
[지원 방법] 대학 CDC 및 링크드인 공고</t>
        </is>
      </c>
      <c r="I58" t="inlineStr">
        <is>
          <t>미지원</t>
        </is>
      </c>
      <c r="J58" t="inlineStr">
        <is>
          <t>2순위 (유력)</t>
        </is>
      </c>
      <c r="K58" t="inlineStr">
        <is>
          <t>https://careers.bcg.com/</t>
        </is>
      </c>
    </row>
    <row r="59" ht="22" customHeight="1">
      <c r="A59" s="47" t="inlineStr">
        <is>
          <t>EY-Parthenon (전략자문)</t>
        </is>
      </c>
      <c r="B59" t="inlineStr">
        <is>
          <t>전략컨설팅_RA</t>
        </is>
      </c>
      <c r="C59" t="inlineStr">
        <is>
          <t>Strategy T-Plus RA 인턴</t>
        </is>
      </c>
      <c r="D59" t="inlineStr">
        <is>
          <t>8. 연중 수시 / 분기별 선발 (전략컨설팅 RA)</t>
        </is>
      </c>
      <c r="E59" t="inlineStr">
        <is>
          <t>상시 수시 채용</t>
        </is>
      </c>
      <c r="F59" t="inlineStr">
        <is>
          <t>3~6개월</t>
        </is>
      </c>
      <c r="G59" t="inlineStr">
        <is>
          <t>재무/데이터 분석 기초 지식, 엑셀 능숙자</t>
        </is>
      </c>
      <c r="H59" t="inlineStr">
        <is>
          <t>M&amp;A 상업적 실사(CDD), 신사업 전략 시장/재무 데이터 분석
[지원 방법] EY Korea Careers / 슈퍼루키</t>
        </is>
      </c>
      <c r="I59" t="inlineStr">
        <is>
          <t>미지원</t>
        </is>
      </c>
      <c r="J59" t="inlineStr">
        <is>
          <t>2순위 (유력)</t>
        </is>
      </c>
      <c r="K59" t="inlineStr">
        <is>
          <t>https://www.superookie.com/jobs?keyword=EY%ED%95%9C%EC%98%81</t>
        </is>
      </c>
    </row>
    <row r="60" ht="22" customHeight="1">
      <c r="A60" s="47" t="inlineStr">
        <is>
          <t>Kearney Korea (커니 코리아)</t>
        </is>
      </c>
      <c r="B60" t="inlineStr">
        <is>
          <t>전략컨설팅_RA</t>
        </is>
      </c>
      <c r="C60" t="inlineStr">
        <is>
          <t>Research Assistant (RA)</t>
        </is>
      </c>
      <c r="D60" t="inlineStr">
        <is>
          <t>8. 연중 수시 / 분기별 선발 (전략컨설팅 RA)</t>
        </is>
      </c>
      <c r="E60" t="inlineStr">
        <is>
          <t>상시 수시 채용</t>
        </is>
      </c>
      <c r="F60" t="inlineStr">
        <is>
          <t>2~3개월 (프로젝트)</t>
        </is>
      </c>
      <c r="G60" t="inlineStr">
        <is>
          <t>학부 3학년 이상, SQL 데이터 추출 가능자 우대</t>
        </is>
      </c>
      <c r="H60" t="inlineStr">
        <is>
          <t>전략 프로젝트 정량 데이터 분석, 벤치마킹, 인터뷰 지원
[지원 방법] seoul.recruiting@kearney.com 영문 이력서 송부</t>
        </is>
      </c>
      <c r="I60" t="inlineStr">
        <is>
          <t>미지원</t>
        </is>
      </c>
      <c r="J60" t="inlineStr">
        <is>
          <t>2순위 (유력)</t>
        </is>
      </c>
      <c r="K60" t="inlineStr">
        <is>
          <t>https://www.superookie.com/jobs?keyword=%EC%BB%A4%EB%8B%88</t>
        </is>
      </c>
    </row>
    <row r="61" ht="22" customHeight="1">
      <c r="A61" s="47" t="inlineStr">
        <is>
          <t>LG경영개발원</t>
        </is>
      </c>
      <c r="B61" t="inlineStr">
        <is>
          <t>전략컨설팅_RA</t>
        </is>
      </c>
      <c r="C61" t="inlineStr">
        <is>
          <t>경영전략 리서치 RA</t>
        </is>
      </c>
      <c r="D61" t="inlineStr">
        <is>
          <t>8. 연중 수시 / 분기별 선발 (전략컨설팅 RA)</t>
        </is>
      </c>
      <c r="E61" t="inlineStr">
        <is>
          <t>상시 수시 채용</t>
        </is>
      </c>
      <c r="F61" t="inlineStr">
        <is>
          <t>3~6개월</t>
        </is>
      </c>
      <c r="G61" t="inlineStr">
        <is>
          <t>학부 재학생/휴학생, 영문 보고서 작성 역량</t>
        </is>
      </c>
      <c r="H61" t="inlineStr">
        <is>
          <t>글로벌 거시경제, 테크 트렌드, AI 시장 리서치 보고서 작성
[지원 방법] 피플앤잡 / 자사 채용</t>
        </is>
      </c>
      <c r="I61" t="inlineStr">
        <is>
          <t>미지원</t>
        </is>
      </c>
      <c r="J61" t="inlineStr">
        <is>
          <t>2순위 (유력)</t>
        </is>
      </c>
      <c r="K61" t="inlineStr">
        <is>
          <t>https://www.peoplenjob.com/</t>
        </is>
      </c>
    </row>
    <row r="62" ht="22" customHeight="1">
      <c r="A62" s="47" t="inlineStr">
        <is>
          <t>McKinsey &amp; Company Seoul</t>
        </is>
      </c>
      <c r="B62" t="inlineStr">
        <is>
          <t>전략컨설팅_RA</t>
        </is>
      </c>
      <c r="C62" t="inlineStr">
        <is>
          <t>Project Research Assistant (RA)</t>
        </is>
      </c>
      <c r="D62" t="inlineStr">
        <is>
          <t>8. 연중 수시 / 분기별 선발 (전략컨설팅 RA)</t>
        </is>
      </c>
      <c r="E62" t="inlineStr">
        <is>
          <t>수시 채용</t>
        </is>
      </c>
      <c r="F62" t="inlineStr">
        <is>
          <t>1~3개월 (프로젝트)</t>
        </is>
      </c>
      <c r="G62" t="inlineStr">
        <is>
          <t>학부 3학년 이상, 영어 리서치 능통자</t>
        </is>
      </c>
      <c r="H62" t="inlineStr">
        <is>
          <t>산업 벤치마킹, 데스크 리서치, 전문가 인터뷰 보조
[지원 방법] 대학 경력개발센터(CDC) 및 수시 공고</t>
        </is>
      </c>
      <c r="I62" t="inlineStr">
        <is>
          <t>미지원</t>
        </is>
      </c>
      <c r="J62" t="inlineStr">
        <is>
          <t>2순위 (유력)</t>
        </is>
      </c>
      <c r="K62" t="inlineStr">
        <is>
          <t>https://www.mckinsey.com/kr/careers</t>
        </is>
      </c>
    </row>
    <row r="63" ht="22" customHeight="1">
      <c r="A63" s="47" t="inlineStr">
        <is>
          <t>Oliver Wyman Seoul</t>
        </is>
      </c>
      <c r="B63" t="inlineStr">
        <is>
          <t>전략컨설팅_RA</t>
        </is>
      </c>
      <c r="C63" t="inlineStr">
        <is>
          <t>Retirement Consulting / Strategy Intern</t>
        </is>
      </c>
      <c r="D63" t="inlineStr">
        <is>
          <t>8. 연중 수시 / 분기별 선발 (전략컨설팅 RA)</t>
        </is>
      </c>
      <c r="E63" t="inlineStr">
        <is>
          <t>상시 채용</t>
        </is>
      </c>
      <c r="F63" t="inlineStr">
        <is>
          <t>3~6개월 (전환형)</t>
        </is>
      </c>
      <c r="G63" t="inlineStr">
        <is>
          <t>학사 졸업(예정)자, 여의도 3 IFC 오피스 근무</t>
        </is>
      </c>
      <c r="H63" t="inlineStr">
        <is>
          <t>전략 컨설팅 및 리서치, 계리/통계 데이터 모델링
[지원 방법] Marsh McLennan / Oliver Wyman Careers</t>
        </is>
      </c>
      <c r="I63" t="inlineStr">
        <is>
          <t>미지원</t>
        </is>
      </c>
      <c r="J63" t="inlineStr">
        <is>
          <t>2순위 (유력)</t>
        </is>
      </c>
      <c r="K63" t="inlineStr">
        <is>
          <t>https://www.oliverwyman.com/careers.html</t>
        </is>
      </c>
    </row>
    <row r="64" ht="22" customHeight="1">
      <c r="A64" s="47" t="inlineStr">
        <is>
          <t>Reddal Korea (레달 코리아)</t>
        </is>
      </c>
      <c r="B64" t="inlineStr">
        <is>
          <t>전략컨설팅_RA</t>
        </is>
      </c>
      <c r="C64" t="inlineStr">
        <is>
          <t>Business Analyst Intern (사업개발/전략)</t>
        </is>
      </c>
      <c r="D64" t="inlineStr">
        <is>
          <t>8. 연중 수시 / 분기별 선발 (전략컨설팅 RA)</t>
        </is>
      </c>
      <c r="E64" t="inlineStr">
        <is>
          <t>수시 채용 (ASAP)</t>
        </is>
      </c>
      <c r="F64" t="inlineStr">
        <is>
          <t>3~6개월</t>
        </is>
      </c>
      <c r="G64" t="inlineStr">
        <is>
          <t>졸업(예정)자, 비즈니스 영어 능통자 필수</t>
        </is>
      </c>
      <c r="H64" t="inlineStr">
        <is>
          <t>핀란드 기반 글로벌 전략 펌, 헬싱키 본사 트레이닝 및 해외 프로젝트
[지원 방법] http://reddal.com/join-reddal/ 또는 슈퍼루키</t>
        </is>
      </c>
      <c r="I64" t="inlineStr">
        <is>
          <t>미지원</t>
        </is>
      </c>
      <c r="J64" t="inlineStr">
        <is>
          <t>2순위 (유력)</t>
        </is>
      </c>
      <c r="K64" t="inlineStr">
        <is>
          <t>https://www.superookie.com/jobs?keyword=%EB%A0%88%EB%8B%AC</t>
        </is>
      </c>
    </row>
  </sheetData>
  <autoFilter ref="A1:K64"/>
  <dataValidations count="4">
    <dataValidation sqref="I2:I64" showDropDown="0" showInputMessage="0" showErrorMessage="0" allowBlank="1" type="list">
      <formula1>"미지원,지원완료,서류합격,면접진행,최종합격,불합격"</formula1>
    </dataValidation>
    <dataValidation sqref="J2:J64" showDropDown="0" showInputMessage="0" showErrorMessage="0" allowBlank="1" type="list">
      <formula1>"1순위 (최우선),2순위 (유력),3순위 (검토)"</formula1>
    </dataValidation>
    <dataValidation sqref="B2:B64" showDropDown="0" showInputMessage="0" showErrorMessage="0" allowBlank="1" type="list">
      <formula1>"AI_Agent_LLM,EEG_뇌공학_BCI,대기업_해외대,데이터사이언스,외국계금융_IB,전략컨설팅_RA"</formula1>
    </dataValidation>
    <dataValidation sqref="D2:D64" showDropDown="0" showInputMessage="0" showErrorMessage="0" allowBlank="1" type="list">
      <formula1>"1. 2026년 9월 마감 (긴급),2. 2026년 10월 마감 (긴급),3. 상시 / 즉시 지원 (ASAP),4. 2026년 12월 ~ 2027년 1월 (겨울 접수),5. 2027년 2~3월 (대기업 상반기),6. 2027년 3~4월 (현대차/연구실 사전컨택),7. 2027년 5월 (KAIST/IBS 하계인턴),8. 연중 수시 / 분기별 선발 (전략컨설팅 RA)"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I49"/>
  <sheetViews>
    <sheetView showGridLines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44" customWidth="1" min="2" max="2"/>
    <col width="46" customWidth="1" min="3" max="3"/>
    <col width="46" customWidth="1" min="4" max="4"/>
    <col width="36" customWidth="1" min="5" max="5"/>
    <col width="52" customWidth="1" min="6" max="6"/>
    <col width="48" customWidth="1" min="7" max="7"/>
    <col width="42" customWidth="1" min="8" max="8"/>
    <col width="38" customWidth="1" min="9" max="9"/>
  </cols>
  <sheetData>
    <row r="1" ht="24" customHeight="1">
      <c r="A1" s="48" t="inlineStr">
        <is>
          <t xml:space="preserve">  📊 [SECTION 1] 데이터사이언티스트 &amp; 데이터 분석가 / 프로덕트 (19개 포지션 - 당근, 토스, 네이버, 카카오 등)</t>
        </is>
      </c>
    </row>
    <row r="2" ht="26" customHeight="1">
      <c r="A2" s="49" t="inlineStr">
        <is>
          <t>기업명 (Company Name)</t>
        </is>
      </c>
      <c r="B2" s="50" t="inlineStr">
        <is>
          <t>포지션 구분</t>
        </is>
      </c>
      <c r="C2" s="50" t="inlineStr">
        <is>
          <t>포지션명</t>
        </is>
      </c>
      <c r="D2" s="50" t="inlineStr">
        <is>
          <t>근무 기간</t>
        </is>
      </c>
      <c r="E2" s="50" t="inlineStr">
        <is>
          <t>마감 일정</t>
        </is>
      </c>
      <c r="F2" s="50" t="inlineStr">
        <is>
          <t>담당 업무</t>
        </is>
      </c>
      <c r="G2" s="50" t="inlineStr">
        <is>
          <t>요구 기술 스택</t>
        </is>
      </c>
      <c r="H2" s="50" t="inlineStr">
        <is>
          <t>비즈니스 도메인 / 특징</t>
        </is>
      </c>
      <c r="I2" s="50" t="inlineStr">
        <is>
          <t>채용 플랫폼 직결 링크</t>
        </is>
      </c>
    </row>
    <row r="3" ht="22" customHeight="1">
      <c r="A3" s="51" t="inlineStr">
        <is>
          <t>당근 (Daangn)</t>
        </is>
      </c>
      <c r="B3" s="52" t="inlineStr">
        <is>
          <t>Data Analyst</t>
        </is>
      </c>
      <c r="C3" s="52" t="inlineStr">
        <is>
          <t>AI-Driven Data Analyst (인턴)</t>
        </is>
      </c>
      <c r="D3" s="52" t="inlineStr">
        <is>
          <t>3~6개월</t>
        </is>
      </c>
      <c r="E3" s="53" t="inlineStr">
        <is>
          <t>상시 (ASAP)</t>
        </is>
      </c>
      <c r="F3" s="52" t="inlineStr">
        <is>
          <t>지표 체계 수립, 이상 탐지 모델, A/B 테스트 가설 검증</t>
        </is>
      </c>
      <c r="G3" s="52" t="inlineStr">
        <is>
          <t>SQL, Python, A/B Test 통계 검증</t>
        </is>
      </c>
      <c r="H3" s="52" t="inlineStr">
        <is>
          <t>하이퍼로컬 플랫폼 / 머신러닝 실험</t>
        </is>
      </c>
      <c r="I3" s="54" t="inlineStr">
        <is>
          <t>https://www.superookie.com/jobs?keyword=%EB%8B%B9%EA%B7%BC</t>
        </is>
      </c>
    </row>
    <row r="4" ht="22" customHeight="1">
      <c r="A4" s="51" t="inlineStr">
        <is>
          <t>당근 (Daangn)</t>
        </is>
      </c>
      <c r="B4" s="52" t="inlineStr">
        <is>
          <t>Data Analyst</t>
        </is>
      </c>
      <c r="C4" s="52" t="inlineStr">
        <is>
          <t>Cross Product Growth DA (인턴)</t>
        </is>
      </c>
      <c r="D4" s="52" t="inlineStr">
        <is>
          <t>3~6개월</t>
        </is>
      </c>
      <c r="E4" s="53" t="inlineStr">
        <is>
          <t>상시 (ASAP)</t>
        </is>
      </c>
      <c r="F4" s="52" t="inlineStr">
        <is>
          <t>그로스 퍼널 분석, 유저 행동 데이터 코호트 분석</t>
        </is>
      </c>
      <c r="G4" s="52" t="inlineStr">
        <is>
          <t>고급 SQL 쿼리, 시각화 대시보드</t>
        </is>
      </c>
      <c r="H4" s="52" t="inlineStr">
        <is>
          <t>프로덕트 성장 전략</t>
        </is>
      </c>
      <c r="I4" s="54" t="inlineStr">
        <is>
          <t>https://www.superookie.com/jobs?keyword=%EB%8B%B9%EA%B7%BC</t>
        </is>
      </c>
    </row>
    <row r="5" ht="22" customHeight="1">
      <c r="A5" s="51" t="inlineStr">
        <is>
          <t>매스프레소 (콴다)</t>
        </is>
      </c>
      <c r="B5" s="52" t="inlineStr">
        <is>
          <t>Data Analyst</t>
        </is>
      </c>
      <c r="C5" s="52" t="inlineStr">
        <is>
          <t>[인턴] Data Analyst</t>
        </is>
      </c>
      <c r="D5" s="52" t="inlineStr">
        <is>
          <t>3~6개월 (전환 가능)</t>
        </is>
      </c>
      <c r="E5" s="53" t="inlineStr">
        <is>
          <t>상시 채용</t>
        </is>
      </c>
      <c r="F5" s="52" t="inlineStr">
        <is>
          <t>BigQuery 활용 대규모 학습 로그 분석, 지표 정의</t>
        </is>
      </c>
      <c r="G5" s="52" t="inlineStr">
        <is>
          <t>Google BigQuery(SQL), Python/R</t>
        </is>
      </c>
      <c r="H5" s="52" t="inlineStr">
        <is>
          <t>글로벌 에듀테크 / 정규직 전환 검토</t>
        </is>
      </c>
      <c r="I5" s="54" t="inlineStr">
        <is>
          <t>https://www.wanted.co.kr/company/1258</t>
        </is>
      </c>
    </row>
    <row r="6" ht="22" customHeight="1">
      <c r="A6" s="51" t="inlineStr">
        <is>
          <t>쏘카 (SOCAR)</t>
        </is>
      </c>
      <c r="B6" s="52" t="inlineStr">
        <is>
          <t>Data Scientist</t>
        </is>
      </c>
      <c r="C6" s="52" t="inlineStr">
        <is>
          <t>Data Scientist 인턴 (수요예측/배치)</t>
        </is>
      </c>
      <c r="D6" s="52" t="inlineStr">
        <is>
          <t>6개월 (풀타임)</t>
        </is>
      </c>
      <c r="E6" s="53" t="inlineStr">
        <is>
          <t>상시 채용</t>
        </is>
      </c>
      <c r="F6" s="52" t="inlineStr">
        <is>
          <t>카셰어링 수요 예측, 동적 가격 결정(Pricing) 알고리즘</t>
        </is>
      </c>
      <c r="G6" s="52" t="inlineStr">
        <is>
          <t>Python, SQL, 머신러닝 예측 모델</t>
        </is>
      </c>
      <c r="H6" s="52" t="inlineStr">
        <is>
          <t>모빌리티 최적화</t>
        </is>
      </c>
      <c r="I6" s="54" t="inlineStr">
        <is>
          <t>https://www.wanted.co.kr/company/5251</t>
        </is>
      </c>
    </row>
    <row r="7" ht="22" customHeight="1">
      <c r="A7" s="51" t="inlineStr">
        <is>
          <t>원티드랩</t>
        </is>
      </c>
      <c r="B7" s="52" t="inlineStr">
        <is>
          <t>Data Scientist</t>
        </is>
      </c>
      <c r="C7" s="52" t="inlineStr">
        <is>
          <t>[인턴] 데이터 사이언티스트 (AI기술팀)</t>
        </is>
      </c>
      <c r="D7" s="52" t="inlineStr">
        <is>
          <t>3~6개월</t>
        </is>
      </c>
      <c r="E7" s="53" t="inlineStr">
        <is>
          <t>상시 채용</t>
        </is>
      </c>
      <c r="F7" s="52" t="inlineStr">
        <is>
          <t>채용 매칭/추천 알고리즘 설계, 커리어 데이터 예측 모델</t>
        </is>
      </c>
      <c r="G7" s="52" t="inlineStr">
        <is>
          <t>Python, SQL, 머신러닝 기초 이론</t>
        </is>
      </c>
      <c r="H7" s="52" t="inlineStr">
        <is>
          <t>AI 커리어 플랫폼</t>
        </is>
      </c>
      <c r="I7" s="54" t="inlineStr">
        <is>
          <t>https://www.wanted.co.kr/company/10499</t>
        </is>
      </c>
    </row>
    <row r="8" ht="22" customHeight="1">
      <c r="A8" s="51" t="inlineStr">
        <is>
          <t>원티드랩</t>
        </is>
      </c>
      <c r="B8" s="52" t="inlineStr">
        <is>
          <t>Data Analyst</t>
        </is>
      </c>
      <c r="C8" s="52" t="inlineStr">
        <is>
          <t>[인턴] 데이터 분석가</t>
        </is>
      </c>
      <c r="D8" s="52" t="inlineStr">
        <is>
          <t>3~6개월</t>
        </is>
      </c>
      <c r="E8" s="53" t="inlineStr">
        <is>
          <t>상시 채용</t>
        </is>
      </c>
      <c r="F8" s="52" t="inlineStr">
        <is>
          <t>전사 DB SQL 추출, 비즈니스 의사결정 대시보드 구축</t>
        </is>
      </c>
      <c r="G8" s="52" t="inlineStr">
        <is>
          <t>SQL, Python/R, 대시보드 시각화</t>
        </is>
      </c>
      <c r="H8" s="52" t="inlineStr">
        <is>
          <t>전사 비즈니스 KPI 관리</t>
        </is>
      </c>
      <c r="I8" s="54" t="inlineStr">
        <is>
          <t>https://www.wanted.co.kr/company/10499</t>
        </is>
      </c>
    </row>
    <row r="9" ht="22" customHeight="1">
      <c r="A9" s="51" t="inlineStr">
        <is>
          <t>AWS Korea</t>
        </is>
      </c>
      <c r="B9" s="52" t="inlineStr">
        <is>
          <t>Business / Ops Analyst</t>
        </is>
      </c>
      <c r="C9" s="52" t="inlineStr">
        <is>
          <t>Sales Ops Analyst Intern</t>
        </is>
      </c>
      <c r="D9" s="52" t="inlineStr">
        <is>
          <t>6개월 (풀타임)</t>
        </is>
      </c>
      <c r="E9" s="53" t="inlineStr">
        <is>
          <t>상시 (ASAP 마감)</t>
        </is>
      </c>
      <c r="F9" s="52" t="inlineStr">
        <is>
          <t>SAS 영업 운영 데이터 정량 분석, 프로세스 자동화 리포팅</t>
        </is>
      </c>
      <c r="G9" s="52" t="inlineStr">
        <is>
          <t>Excel, SQL, 영문/국문 커뮤니케이션 능통</t>
        </is>
      </c>
      <c r="H9" s="52" t="inlineStr">
        <is>
          <t>글로벌 클라우드 세일즈</t>
        </is>
      </c>
      <c r="I9" s="54" t="inlineStr">
        <is>
          <t>https://www.amazon.jobs/en/locations/seoul-south-korea</t>
        </is>
      </c>
    </row>
    <row r="10" ht="22" customHeight="1">
      <c r="A10" s="51" t="inlineStr">
        <is>
          <t>번개장터</t>
        </is>
      </c>
      <c r="B10" s="52" t="inlineStr">
        <is>
          <t>Data Analyst</t>
        </is>
      </c>
      <c r="C10" s="52" t="inlineStr">
        <is>
          <t>Data Analytics 체험형 인턴</t>
        </is>
      </c>
      <c r="D10" s="52" t="inlineStr">
        <is>
          <t>3~6개월</t>
        </is>
      </c>
      <c r="E10" s="53" t="inlineStr">
        <is>
          <t>상시 채용</t>
        </is>
      </c>
      <c r="F10" s="52" t="inlineStr">
        <is>
          <t>C2C 거래 및 검색 행동 데이터 분석, 정량 코호트 분석</t>
        </is>
      </c>
      <c r="G10" s="52" t="inlineStr">
        <is>
          <t>고급 SQL, 정량 데이터 가설 검정</t>
        </is>
      </c>
      <c r="H10" s="52" t="inlineStr">
        <is>
          <t>중고거래 플랫폼</t>
        </is>
      </c>
      <c r="I10" s="54" t="inlineStr">
        <is>
          <t>https://www.superookie.com/jobs?keyword=%EB%8B%B9%EA%B7%BC</t>
        </is>
      </c>
    </row>
    <row r="11" ht="22" customHeight="1">
      <c r="A11" s="51" t="inlineStr">
        <is>
          <t>컬리 (Market Kurly)</t>
        </is>
      </c>
      <c r="B11" s="52" t="inlineStr">
        <is>
          <t>Data Analyst</t>
        </is>
      </c>
      <c r="C11" s="52" t="inlineStr">
        <is>
          <t>고객전략팀 데이터 분석 인턴</t>
        </is>
      </c>
      <c r="D11" s="52" t="inlineStr">
        <is>
          <t>3개월</t>
        </is>
      </c>
      <c r="E11" s="53" t="inlineStr">
        <is>
          <t>상시 채용</t>
        </is>
      </c>
      <c r="F11" s="52" t="inlineStr">
        <is>
          <t>고객 세그멘테이션, 프로모션 반응률 예측, 실험 설계</t>
        </is>
      </c>
      <c r="G11" s="52" t="inlineStr">
        <is>
          <t>R, Python, Excel, 고객 분석</t>
        </is>
      </c>
      <c r="H11" s="52" t="inlineStr">
        <is>
          <t>리테일 / 이커머스</t>
        </is>
      </c>
      <c r="I11" s="54" t="inlineStr">
        <is>
          <t>https://www.superookie.com/jobs?keyword=%EC%BB%AC%EB%A6%AC</t>
        </is>
      </c>
    </row>
    <row r="12" ht="22" customHeight="1">
      <c r="A12" s="51" t="inlineStr">
        <is>
          <t>플렉스 (flex)</t>
        </is>
      </c>
      <c r="B12" s="52" t="inlineStr">
        <is>
          <t>Data Analyst</t>
        </is>
      </c>
      <c r="C12" s="52" t="inlineStr">
        <is>
          <t>Data Analyst Intern (채용연계형)</t>
        </is>
      </c>
      <c r="D12" s="52" t="inlineStr">
        <is>
          <t>6개월</t>
        </is>
      </c>
      <c r="E12" s="53" t="inlineStr">
        <is>
          <t>상시 채용</t>
        </is>
      </c>
      <c r="F12" s="52" t="inlineStr">
        <is>
          <t>B2B SaaS 지표 정의, Tableau 대시보드, 퍼널 분석</t>
        </is>
      </c>
      <c r="G12" s="52" t="inlineStr">
        <is>
          <t>SQL, Tableau, 데이터 마트 모델링</t>
        </is>
      </c>
      <c r="H12" s="52" t="inlineStr">
        <is>
          <t>HR Tech SaaS</t>
        </is>
      </c>
      <c r="I12" s="54" t="inlineStr">
        <is>
          <t>https://www.superookie.com/jobs?keyword=%ED%94%8C%EB%A0%89%EC%8A%A4</t>
        </is>
      </c>
    </row>
    <row r="13" ht="22" customHeight="1">
      <c r="A13" s="51" t="inlineStr">
        <is>
          <t>클래스101</t>
        </is>
      </c>
      <c r="B13" s="52" t="inlineStr">
        <is>
          <t>Data Analyst</t>
        </is>
      </c>
      <c r="C13" s="52" t="inlineStr">
        <is>
          <t>[인턴] Data Analyst</t>
        </is>
      </c>
      <c r="D13" s="52" t="inlineStr">
        <is>
          <t>3~6개월</t>
        </is>
      </c>
      <c r="E13" s="53" t="inlineStr">
        <is>
          <t>상시 채용</t>
        </is>
      </c>
      <c r="F13" s="52" t="inlineStr">
        <is>
          <t>로그 정합성 검증, A/B 테스트 설계, 데이터 마트 모델링</t>
        </is>
      </c>
      <c r="G13" s="52" t="inlineStr">
        <is>
          <t>SQL 쿼리 작성, 데이터 가공</t>
        </is>
      </c>
      <c r="H13" s="52" t="inlineStr">
        <is>
          <t>글로벌 구독 플랫폼</t>
        </is>
      </c>
      <c r="I13" s="54" t="inlineStr">
        <is>
          <t>https://www.wanted.co.kr/search?query=%ED%81%B4%EB%9E%98%EC%8A%A4101%20Data%20Analyst</t>
        </is>
      </c>
    </row>
    <row r="14" ht="22" customHeight="1">
      <c r="A14" s="51" t="inlineStr">
        <is>
          <t>와이즐리 (Wisely)</t>
        </is>
      </c>
      <c r="B14" s="52" t="inlineStr">
        <is>
          <t>Data Analyst</t>
        </is>
      </c>
      <c r="C14" s="52" t="inlineStr">
        <is>
          <t>[인턴] 데이터 분석가</t>
        </is>
      </c>
      <c r="D14" s="52" t="inlineStr">
        <is>
          <t>3~6개월</t>
        </is>
      </c>
      <c r="E14" s="53" t="inlineStr">
        <is>
          <t>상시 채용</t>
        </is>
      </c>
      <c r="F14" s="52" t="inlineStr">
        <is>
          <t>구독/수요 예측 모델링, A/B 테스트 정량 통계 분석</t>
        </is>
      </c>
      <c r="G14" s="52" t="inlineStr">
        <is>
          <t>SQL, Python/R, 회귀분석/가설검정</t>
        </is>
      </c>
      <c r="H14" s="52" t="inlineStr">
        <is>
          <t>D2C 커머스</t>
        </is>
      </c>
      <c r="I14" s="54" t="inlineStr">
        <is>
          <t>https://www.wanted.co.kr/search?query=%EC%99%80%EC%9D%B4%EC%A6%90%EB%A6%AC%20%EB%8D%B0%EC%9D%B4%ED%84%B0</t>
        </is>
      </c>
    </row>
    <row r="15" ht="22" customHeight="1">
      <c r="A15" s="51" t="inlineStr">
        <is>
          <t>레브잇 (올웨이즈)</t>
        </is>
      </c>
      <c r="B15" s="52" t="inlineStr">
        <is>
          <t>Data Analyst</t>
        </is>
      </c>
      <c r="C15" s="52" t="inlineStr">
        <is>
          <t>[인턴] Data Analyst</t>
        </is>
      </c>
      <c r="D15" s="52" t="inlineStr">
        <is>
          <t>3~6개월</t>
        </is>
      </c>
      <c r="E15" s="53" t="inlineStr">
        <is>
          <t>상시 채용</t>
        </is>
      </c>
      <c r="F15" s="52" t="inlineStr">
        <is>
          <t>대규모 사용자 행동 로그 분석, 리텐션 분석</t>
        </is>
      </c>
      <c r="G15" s="52" t="inlineStr">
        <is>
          <t>SQL, 수리통계학 기반 분석</t>
        </is>
      </c>
      <c r="H15" s="52" t="inlineStr">
        <is>
          <t>초고속 성장 모바일 커머스</t>
        </is>
      </c>
      <c r="I15" s="54" t="inlineStr">
        <is>
          <t>https://www.wanted.co.kr/search?query=%EB%A0%88%EB%8Ext%EC%9E%87%20Data%20Analyst</t>
        </is>
      </c>
    </row>
    <row r="16" ht="22" customHeight="1">
      <c r="A16" s="51" t="inlineStr">
        <is>
          <t>Coupang</t>
        </is>
      </c>
      <c r="B16" s="52" t="inlineStr">
        <is>
          <t>Business Analyst</t>
        </is>
      </c>
      <c r="C16" s="52" t="inlineStr">
        <is>
          <t>Junior Business Analyst (Catalog Quality)</t>
        </is>
      </c>
      <c r="D16" s="52" t="inlineStr">
        <is>
          <t>정규직 / 주니어</t>
        </is>
      </c>
      <c r="E16" s="53" t="inlineStr">
        <is>
          <t>수시 채용</t>
        </is>
      </c>
      <c r="F16" s="52" t="inlineStr">
        <is>
          <t>카탈로그 운영 데이터 분석, 품질 이상 탐지 모델 모니터링</t>
        </is>
      </c>
      <c r="G16" s="52" t="inlineStr">
        <is>
          <t>SQL, Python 자동화, 문제 해결력</t>
        </is>
      </c>
      <c r="H16" s="52" t="inlineStr">
        <is>
          <t>글로벌 이커머스</t>
        </is>
      </c>
      <c r="I16" s="54" t="inlineStr">
        <is>
          <t>https://www.coupang.jobs/</t>
        </is>
      </c>
    </row>
    <row r="17" ht="22" customHeight="1">
      <c r="A17" s="51" t="inlineStr">
        <is>
          <t>토스뱅크 (Toss Bank)</t>
        </is>
      </c>
      <c r="B17" s="52" t="inlineStr">
        <is>
          <t>Product Designer</t>
        </is>
      </c>
      <c r="C17" s="52" t="inlineStr">
        <is>
          <t>Product Designer (제품 디자이너)</t>
        </is>
      </c>
      <c r="D17" s="52" t="inlineStr">
        <is>
          <t>정규직/채용연계</t>
        </is>
      </c>
      <c r="E17" s="53" t="inlineStr">
        <is>
          <t>2026.09.30 (서류 마감)</t>
        </is>
      </c>
      <c r="F17" s="52" t="inlineStr">
        <is>
          <t>토스뱅크 금융 제품 UI/UX 및 인터랙션 디자인, 사용자 여정 최적화, 스쿼드 협업</t>
        </is>
      </c>
      <c r="G17" s="52" t="inlineStr">
        <is>
          <t>Figma, Prototyping, 사용자 조사, 인지심리학 기반 UX 설계</t>
        </is>
      </c>
      <c r="H17" s="52" t="inlineStr">
        <is>
          <t>핀테크 / 인터넷전문은행 혁신 금융 프로덕트</t>
        </is>
      </c>
      <c r="I17" s="54" t="inlineStr">
        <is>
          <t>https://toss.im/career/job-detail?job_id=4071141003</t>
        </is>
      </c>
    </row>
    <row r="18" ht="22" customHeight="1">
      <c r="A18" s="51" t="inlineStr">
        <is>
          <t>토스 (비바리퍼블리카)</t>
        </is>
      </c>
      <c r="B18" s="52" t="inlineStr">
        <is>
          <t>Data Analyst</t>
        </is>
      </c>
      <c r="C18" s="52" t="inlineStr">
        <is>
          <t>Data Analyst (Product Data Analyst)</t>
        </is>
      </c>
      <c r="D18" s="52" t="inlineStr">
        <is>
          <t>3~6개월 / 정규직 연계</t>
        </is>
      </c>
      <c r="E18" s="53" t="inlineStr">
        <is>
          <t>상시 채용 (수시)</t>
        </is>
      </c>
      <c r="F18" s="52" t="inlineStr">
        <is>
          <t>제품 핵심 퍼널 및 리텐션 지표 정의, A/B 테스트 통계 검증, 데이터 기반 의사결정 지원</t>
        </is>
      </c>
      <c r="G18" s="52" t="inlineStr">
        <is>
          <t>SQL, Python, Tableau, Amplitude, A/B 테스팅 통계</t>
        </is>
      </c>
      <c r="H18" s="52" t="inlineStr">
        <is>
          <t>핀테크 유니콘 / 전 국민 금융 슈퍼앱</t>
        </is>
      </c>
      <c r="I18" s="54" t="inlineStr">
        <is>
          <t>https://toss.im/career</t>
        </is>
      </c>
    </row>
    <row r="19" ht="22" customHeight="1">
      <c r="A19" s="51" t="inlineStr">
        <is>
          <t>토스뱅크 (Toss Bank)</t>
        </is>
      </c>
      <c r="B19" s="52" t="inlineStr">
        <is>
          <t>Product Designer</t>
        </is>
      </c>
      <c r="C19" s="52" t="inlineStr">
        <is>
          <t>Product Design Assistant (단기계약직/인턴)</t>
        </is>
      </c>
      <c r="D19" s="52" t="inlineStr">
        <is>
          <t>3개월 (단기계약직)</t>
        </is>
      </c>
      <c r="E19" s="53" t="inlineStr">
        <is>
          <t>상시 채용 (ASAP)</t>
        </is>
      </c>
      <c r="F19" s="52" t="inlineStr">
        <is>
          <t>토스뱅크 제품 디자인 시스템 어시스턴트, 그래픽 및 UI 에셋 제작, 사용자 인터랙션 검증 지원</t>
        </is>
      </c>
      <c r="G19" s="52" t="inlineStr">
        <is>
          <t>Figma, 디자인 시스템(TDS), UI/UX 리서치</t>
        </is>
      </c>
      <c r="H19" s="52" t="inlineStr">
        <is>
          <t>핀테크 / 제품 디자인 실무 서포트</t>
        </is>
      </c>
      <c r="I19" s="54" t="inlineStr">
        <is>
          <t>https://toss.im/career</t>
        </is>
      </c>
    </row>
    <row r="20" ht="22" customHeight="1">
      <c r="A20" s="51" t="inlineStr">
        <is>
          <t>네이버 (NAVER)</t>
        </is>
      </c>
      <c r="B20" s="52" t="inlineStr">
        <is>
          <t>Business Analyst</t>
        </is>
      </c>
      <c r="C20" s="52" t="inlineStr">
        <is>
          <t>NAVER 하계/체험형 인턴십 (프로덕트 트랙 - 기획/UX)</t>
        </is>
      </c>
      <c r="D20" s="52" t="inlineStr">
        <is>
          <t>2~3개월 (체험형)</t>
        </is>
      </c>
      <c r="E20" s="53" t="inlineStr">
        <is>
          <t>수시 채용 / 2026년 가을</t>
        </is>
      </c>
      <c r="F20" s="52" t="inlineStr">
        <is>
          <t>네이버 주요 서비스 프로덕트 기획 및 사용자 데이터 분석, UI/UX 사용성 테스트 및 가설 검증</t>
        </is>
      </c>
      <c r="G20" s="52" t="inlineStr">
        <is>
          <t>Python, SQL, 서비스 기획, UX 데이터 분석, HCI</t>
        </is>
      </c>
      <c r="H20" s="52" t="inlineStr">
        <is>
          <t>국내 1위 포털 &amp; AI 테크 기업</t>
        </is>
      </c>
      <c r="I20" s="54" t="inlineStr">
        <is>
          <t>https://recruit.navercorp.com/</t>
        </is>
      </c>
    </row>
    <row r="21" ht="22" customHeight="1">
      <c r="A21" s="51" t="inlineStr">
        <is>
          <t>카카오페이 (Kakao Pay)</t>
        </is>
      </c>
      <c r="B21" s="52" t="inlineStr">
        <is>
          <t>Data Analyst</t>
        </is>
      </c>
      <c r="C21" s="52" t="inlineStr">
        <is>
          <t>데이터 분석가 (Data Analyst) [Data Analyst]</t>
        </is>
      </c>
      <c r="D21" s="52" t="inlineStr">
        <is>
          <t>3~6개월</t>
        </is>
      </c>
      <c r="E21" s="53" t="inlineStr">
        <is>
          <t>상시 채용 (수시)</t>
        </is>
      </c>
      <c r="F21" s="52" t="inlineStr">
        <is>
          <t>카카오페이 결제/금융 트랜잭션 데이터 분석, 사용자 세그멘테이션, 코호트 리텐션 분석</t>
        </is>
      </c>
      <c r="G21" s="52" t="inlineStr">
        <is>
          <t>SQL, Python, 통계 분석, 데이터 시각화</t>
        </is>
      </c>
      <c r="H21" s="52" t="inlineStr">
        <is>
          <t>간편결제 및 테크핀 플랫폼</t>
        </is>
      </c>
      <c r="I21" s="54" t="inlineStr">
        <is>
          <t>https://careers.kakao.com/</t>
        </is>
      </c>
    </row>
    <row r="23" ht="24" customHeight="1">
      <c r="A23" s="48" t="inlineStr">
        <is>
          <t xml:space="preserve">  🤖 [SECTION 2] AI Agent &amp; LLM 엔지니어 (11개 포지션 - 네이버, 카카오, 딥오토, 뤼튼, 당근 등)</t>
        </is>
      </c>
    </row>
    <row r="24" ht="26" customHeight="1">
      <c r="A24" s="49" t="inlineStr">
        <is>
          <t>기업명 (Company Name)</t>
        </is>
      </c>
      <c r="B24" s="50" t="inlineStr">
        <is>
          <t>포지션명</t>
        </is>
      </c>
      <c r="C24" s="50" t="inlineStr">
        <is>
          <t>오피스 위치</t>
        </is>
      </c>
      <c r="D24" s="50" t="inlineStr">
        <is>
          <t>고용 형태 / 기간</t>
        </is>
      </c>
      <c r="E24" s="50" t="inlineStr">
        <is>
          <t>마감 일정</t>
        </is>
      </c>
      <c r="F24" s="50" t="inlineStr">
        <is>
          <t>담당 업무</t>
        </is>
      </c>
      <c r="G24" s="50" t="inlineStr">
        <is>
          <t>요구 기술 스택</t>
        </is>
      </c>
      <c r="H24" s="50" t="inlineStr">
        <is>
          <t>규빈 님 매칭 포인트</t>
        </is>
      </c>
      <c r="I24" s="50" t="inlineStr">
        <is>
          <t>원티드/플랫폼 직결 링크</t>
        </is>
      </c>
    </row>
    <row r="25" ht="22" customHeight="1">
      <c r="A25" s="51" t="inlineStr">
        <is>
          <t>딥오토 (DeepAuto)</t>
        </is>
      </c>
      <c r="B25" s="52" t="inlineStr">
        <is>
          <t>[인턴] Agentic AI Engineer</t>
        </is>
      </c>
      <c r="C25" s="52" t="inlineStr">
        <is>
          <t>서울 강남구 역삼</t>
        </is>
      </c>
      <c r="D25" s="52" t="inlineStr">
        <is>
          <t>체험형/채용연계형 인턴</t>
        </is>
      </c>
      <c r="E25" s="53" t="inlineStr">
        <is>
          <t>상시 채용 (ASAP)</t>
        </is>
      </c>
      <c r="F25" s="52" t="inlineStr">
        <is>
          <t>• 에이전트 프롬프트 및 토폴로지 최적화
• 평가 자동화 파이프라인 구축
• MCP (Model Context Protocol) Tool 통합</t>
        </is>
      </c>
      <c r="G25" s="52" t="inlineStr">
        <is>
          <t>Python, LangChain/LlamaIndex, LLM Prompting, MCP 도구 이해</t>
        </is>
      </c>
      <c r="H25" s="55" t="inlineStr">
        <is>
          <t>MCP 연동 실무 경험 및 LLM 분류 파이프라인(κ=0.98) 구축 자산과 100% 일치</t>
        </is>
      </c>
      <c r="I25" s="54" t="inlineStr">
        <is>
          <t>https://www.wanted.co.kr/wd/293701</t>
        </is>
      </c>
    </row>
    <row r="26" ht="22" customHeight="1">
      <c r="A26" s="51" t="inlineStr">
        <is>
          <t>딥오토 (DeepAuto)</t>
        </is>
      </c>
      <c r="B26" s="52" t="inlineStr">
        <is>
          <t>[인턴] AI Engineer</t>
        </is>
      </c>
      <c r="C26" s="52" t="inlineStr">
        <is>
          <t>서울 강남구 역삼</t>
        </is>
      </c>
      <c r="D26" s="52" t="inlineStr">
        <is>
          <t>인턴십</t>
        </is>
      </c>
      <c r="E26" s="53" t="inlineStr">
        <is>
          <t>상시 채용</t>
        </is>
      </c>
      <c r="F26" s="52" t="inlineStr">
        <is>
          <t>• 멀티모달 LLM/VLM 에이전트 설계 및 구현
• OCR, Document AI 모델 설계
• LLM 파인튜닝 및 강화학습(RL) 파이프라인</t>
        </is>
      </c>
      <c r="G26" s="52" t="inlineStr">
        <is>
          <t>Python, PyTorch, 딥러닝 프로젝트 경험, LLM 서빙</t>
        </is>
      </c>
      <c r="H26" s="52" t="inlineStr">
        <is>
          <t>Python 기반 엔드투엔드 파이프라인 구축 및 멀티모달 데이터 처리</t>
        </is>
      </c>
      <c r="I26" s="54" t="inlineStr">
        <is>
          <t>https://www.wanted.co.kr/wd/379363</t>
        </is>
      </c>
    </row>
    <row r="27" ht="22" customHeight="1">
      <c r="A27" s="51" t="inlineStr">
        <is>
          <t>딥오토 (DeepAuto)</t>
        </is>
      </c>
      <c r="B27" s="52" t="inlineStr">
        <is>
          <t>[인턴] MCP Engineer</t>
        </is>
      </c>
      <c r="C27" s="52" t="inlineStr">
        <is>
          <t>서울 강남구 역삼</t>
        </is>
      </c>
      <c r="D27" s="52" t="inlineStr">
        <is>
          <t>인턴십</t>
        </is>
      </c>
      <c r="E27" s="53" t="inlineStr">
        <is>
          <t>상시 채용</t>
        </is>
      </c>
      <c r="F27" s="52" t="inlineStr">
        <is>
          <t>• AI 에이전트 연동 Tool Software(MCP Server) 개발
• Python 라이브러리 및 API 연동 파이프라인 구축</t>
        </is>
      </c>
      <c r="G27" s="52" t="inlineStr">
        <is>
          <t>Python, REST/JSON-RPC, MCP 규격 이해</t>
        </is>
      </c>
      <c r="H27" s="52" t="inlineStr">
        <is>
          <t>MCP Server 직접 연동 및 Zotero-API 자동화 경험 직결</t>
        </is>
      </c>
      <c r="I27" s="54" t="inlineStr">
        <is>
          <t>https://www.wanted.co.kr/wd/293704</t>
        </is>
      </c>
    </row>
    <row r="28" ht="22" customHeight="1">
      <c r="A28" s="51" t="inlineStr">
        <is>
          <t>뤼튼테크놀로지스</t>
        </is>
      </c>
      <c r="B28" s="52" t="inlineStr">
        <is>
          <t>[인턴] Internal Agent Builder</t>
        </is>
      </c>
      <c r="C28" s="52" t="inlineStr">
        <is>
          <t>서울 강남구</t>
        </is>
      </c>
      <c r="D28" s="52" t="inlineStr">
        <is>
          <t>3개월 인턴 (정규 전환 가능)</t>
        </is>
      </c>
      <c r="E28" s="53" t="inlineStr">
        <is>
          <t>상시 채용</t>
        </is>
      </c>
      <c r="F28" s="52" t="inlineStr">
        <is>
          <t>• 사내 비즈니스 업무 자동화를 위한 내부 AI 에이전트 개발
• 다양한 최신 LLM API 연동 및 워크플로우 구축</t>
        </is>
      </c>
      <c r="G28" s="52" t="inlineStr">
        <is>
          <t>Python 또는 Node.js 프로그래밍, LLM API 활용 생산성 도구 구현</t>
        </is>
      </c>
      <c r="H28" s="52" t="inlineStr">
        <is>
          <t>Zotero-LLM API 연동 및 자동화 에이전트 워크플로우 구현 경험</t>
        </is>
      </c>
      <c r="I28" s="54" t="inlineStr">
        <is>
          <t>https://www.wanted.co.kr/company/18629</t>
        </is>
      </c>
    </row>
    <row r="29" ht="22" customHeight="1">
      <c r="A29" s="51" t="inlineStr">
        <is>
          <t>업스테이지 (Upstage)</t>
        </is>
      </c>
      <c r="B29" s="52" t="inlineStr">
        <is>
          <t>[인턴] AI Engineer (LLM / Agent)</t>
        </is>
      </c>
      <c r="C29" s="52" t="inlineStr">
        <is>
          <t>서울 / 원격 병행</t>
        </is>
      </c>
      <c r="D29" s="52" t="inlineStr">
        <is>
          <t>3~6개월 인턴십</t>
        </is>
      </c>
      <c r="E29" s="53" t="inlineStr">
        <is>
          <t>수시 채용</t>
        </is>
      </c>
      <c r="F29" s="52" t="inlineStr">
        <is>
          <t>• Solar 기반 AI 에이전트 워크플로우 설계
• vLLM 기반 고성능 추론 최적화 및 모델 평가
• Document AI 데이터셋 구축</t>
        </is>
      </c>
      <c r="G29" s="52" t="inlineStr">
        <is>
          <t>Python, PyTorch, HuggingFace, LLM Fine-tuning 및 모델 벤치마크</t>
        </is>
      </c>
      <c r="H29" s="52" t="inlineStr">
        <is>
          <t>대규모 논문/문서 데이터 LLM 자동 평가 및 벤치마킹 분석 역량</t>
        </is>
      </c>
      <c r="I29" s="54" t="inlineStr">
        <is>
          <t>https://www.wanted.co.kr/search?query=%EC%97%85%EC%8A%A4%ED%85%8C%EC%9D%B4%EC%A7%80%20%EC%9D%B8%ED%84%B4</t>
        </is>
      </c>
    </row>
    <row r="30" ht="22" customHeight="1">
      <c r="A30" s="51" t="inlineStr">
        <is>
          <t>채널코퍼레이션 (채널톡)</t>
        </is>
      </c>
      <c r="B30" s="52" t="inlineStr">
        <is>
          <t>[인턴] Machine Learning Engineer</t>
        </is>
      </c>
      <c r="C30" s="52" t="inlineStr">
        <is>
          <t>서울 강남구</t>
        </is>
      </c>
      <c r="D30" s="52" t="inlineStr">
        <is>
          <t>인턴십</t>
        </is>
      </c>
      <c r="E30" s="53" t="inlineStr">
        <is>
          <t>상시 채용</t>
        </is>
      </c>
      <c r="F30" s="52" t="inlineStr">
        <is>
          <t>• 고객 상담 자동화 AI Agent 설계
• 데이터 전처리 및 학습 파이프라인 구현
• 멀티모달 검색 및 RAG 시스템 고도화</t>
        </is>
      </c>
      <c r="G30" s="52" t="inlineStr">
        <is>
          <t>Python, ML/DL 기본기, NLP/LLM 프로젝트, RAG 지식</t>
        </is>
      </c>
      <c r="H30" s="52" t="inlineStr">
        <is>
          <t>비정형 텍스트 처리 및 고신뢰도 RAG/QA 검색 시스템 파이프라인</t>
        </is>
      </c>
      <c r="I30" s="54" t="inlineStr">
        <is>
          <t>https://www.wanted.co.kr/search?query=%EC%B1%84%EB%84%80%EC%BD%94%ED%8D%BC%EB%A0%88%EC%9D%B4%EC%85%98%20%EC%9D%B8%ED%84%B4</t>
        </is>
      </c>
    </row>
    <row r="31" ht="22" customHeight="1">
      <c r="A31" s="51" t="inlineStr">
        <is>
          <t>노타 (Nota AI)</t>
        </is>
      </c>
      <c r="B31" s="52" t="inlineStr">
        <is>
          <t>[인턴] NetsPresso R&amp;D AI Engineer</t>
        </is>
      </c>
      <c r="C31" s="52" t="inlineStr">
        <is>
          <t>서울 강남구</t>
        </is>
      </c>
      <c r="D31" s="52" t="inlineStr">
        <is>
          <t>3~6개월 인턴십</t>
        </is>
      </c>
      <c r="E31" s="53" t="inlineStr">
        <is>
          <t>상시 채용</t>
        </is>
      </c>
      <c r="F31" s="52" t="inlineStr">
        <is>
          <t>• 내부 IR(Intermediate Representation) 개발
• PyTorch/ONNX 모델 변환 및 경량화
• On-device AI 가속화 프레임워크 최적화</t>
        </is>
      </c>
      <c r="G31" s="52" t="inlineStr">
        <is>
          <t>PyTorch, ONNX, ExecuTorch, 딥러닝 모델 경량화(Quantization)</t>
        </is>
      </c>
      <c r="H31" s="52" t="inlineStr">
        <is>
          <t>PyTorch 모델링 및 효율적 알고리즘 튜닝 역량</t>
        </is>
      </c>
      <c r="I31" s="54" t="inlineStr">
        <is>
          <t>https://www.wanted.co.kr/search?query=%EB%85%B8%ED%83%80%20NetsPresso</t>
        </is>
      </c>
    </row>
    <row r="32" ht="22" customHeight="1">
      <c r="A32" s="51" t="inlineStr">
        <is>
          <t>피카부랩스</t>
        </is>
      </c>
      <c r="B32" s="52" t="inlineStr">
        <is>
          <t>[인턴] AI 엔지니어</t>
        </is>
      </c>
      <c r="C32" s="52" t="inlineStr">
        <is>
          <t>서울</t>
        </is>
      </c>
      <c r="D32" s="52" t="inlineStr">
        <is>
          <t>인턴십</t>
        </is>
      </c>
      <c r="E32" s="53" t="inlineStr">
        <is>
          <t>상시 채용</t>
        </is>
      </c>
      <c r="F32" s="52" t="inlineStr">
        <is>
          <t>• sLLM 활용 의도(Intent) 추출 모델 설계
• 자연어 명령-액션 변환 모델 학습
• ONNX 온디바이스 모델 최적화</t>
        </is>
      </c>
      <c r="G32" s="52" t="inlineStr">
        <is>
          <t>Python, PyTorch/TensorFlow, 학부 3학년 이상 재학생</t>
        </is>
      </c>
      <c r="H32" s="52" t="inlineStr">
        <is>
          <t>인지/언어학(Language Sciences) 기반 자연어 처리 이해도</t>
        </is>
      </c>
      <c r="I32" s="54" t="inlineStr">
        <is>
          <t>https://www.wanted.co.kr/search?query=%ED%94%BC%EC%B9%B4%EB%B6%80%EB%9E%A9%EC%8A%A4</t>
        </is>
      </c>
    </row>
    <row r="33" ht="22" customHeight="1">
      <c r="A33" s="51" t="inlineStr">
        <is>
          <t>네이버 (NAVER)</t>
        </is>
      </c>
      <c r="B33" s="52" t="inlineStr">
        <is>
          <t>[인턴] Data Science &amp; AI/ML 엔지니어</t>
        </is>
      </c>
      <c r="C33" s="52" t="inlineStr">
        <is>
          <t>경기 성남시 분당구 정자동 1784</t>
        </is>
      </c>
      <c r="D33" s="52" t="inlineStr">
        <is>
          <t>체험형/전환형 인턴 (3~6개월)</t>
        </is>
      </c>
      <c r="E33" s="53" t="inlineStr">
        <is>
          <t>수시 채용 (ASAP)</t>
        </is>
      </c>
      <c r="F33" s="52" t="inlineStr">
        <is>
          <t>• 하이퍼클로바X(HyperCLOVA X) 기반 언어 모델 파인튜닝
• 생성형 AI 프롬프트 최적화 및 평가
• LLM 서빙 파이프라인 구축</t>
        </is>
      </c>
      <c r="G33" s="52" t="inlineStr">
        <is>
          <t>Python, PyTorch, LLM Fine-tuning, NLP, LangChain</t>
        </is>
      </c>
      <c r="H33" s="55" t="inlineStr">
        <is>
          <t>UCL 인지언어학 및 파이썬 머신러닝 파이프라인, LLM 에이전트 구축 실무 역량 부합</t>
        </is>
      </c>
      <c r="I33" s="54" t="inlineStr">
        <is>
          <t>https://recruit.navercorp.com/</t>
        </is>
      </c>
    </row>
    <row r="34" ht="22" customHeight="1">
      <c r="A34" s="51" t="inlineStr">
        <is>
          <t>카카오 (Kakao)</t>
        </is>
      </c>
      <c r="B34" s="52" t="inlineStr">
        <is>
          <t>[인턴] AI Research Engineer (Search &amp; Agent)</t>
        </is>
      </c>
      <c r="C34" s="52" t="inlineStr">
        <is>
          <t>경기 성남시 분당구 판교</t>
        </is>
      </c>
      <c r="D34" s="52" t="inlineStr">
        <is>
          <t>인턴 / 주니어 영입</t>
        </is>
      </c>
      <c r="E34" s="53" t="inlineStr">
        <is>
          <t>상시 채용 (수시)</t>
        </is>
      </c>
      <c r="F34" s="52" t="inlineStr">
        <is>
          <t>• 카카오톡 기반 AI Agent 상호작용 및 에이전틱 워크플로우 개발
• 멀티모달 상호작용 및 검색 랭킹 고도화
• LLM 추론 효율화 연구</t>
        </is>
      </c>
      <c r="G34" s="52" t="inlineStr">
        <is>
          <t>Python, PyTorch, LLM Agent, Information Retrieval, Prompt Engineering</t>
        </is>
      </c>
      <c r="H34" s="55" t="inlineStr">
        <is>
          <t>인지과학적 인터랙션 이해 및 에이전트 아키텍처 구현 프로젝트 경험과 정밀 매칭</t>
        </is>
      </c>
      <c r="I34" s="54" t="inlineStr">
        <is>
          <t>https://careers.kakao.com/</t>
        </is>
      </c>
    </row>
    <row r="35" ht="22" customHeight="1">
      <c r="A35" s="51" t="inlineStr">
        <is>
          <t>당근 (Daangn)</t>
        </is>
      </c>
      <c r="B35" s="52" t="inlineStr">
        <is>
          <t>[인턴] Machine Learning Engineer</t>
        </is>
      </c>
      <c r="C35" s="52" t="inlineStr">
        <is>
          <t>서울 서초구 강남대로</t>
        </is>
      </c>
      <c r="D35" s="52" t="inlineStr">
        <is>
          <t>채용연계형/체험형 인턴 (3개월)</t>
        </is>
      </c>
      <c r="E35" s="53" t="inlineStr">
        <is>
          <t>상시 채용 (ASAP)</t>
        </is>
      </c>
      <c r="F35" s="52" t="inlineStr">
        <is>
          <t>• 중고거래 검색/추천 랭킹 모델 고도화
• 피드 개인화 추천 알고리즘 설계 및 A/B 실험 검증
• 실시간 머신러닝 피처 파이프라인 최적화</t>
        </is>
      </c>
      <c r="G35" s="52" t="inlineStr">
        <is>
          <t>Python, PyTorch/TensorFlow, Recommendation Systems, SQL, MLOps</t>
        </is>
      </c>
      <c r="H35" s="55" t="inlineStr">
        <is>
          <t>정량 데이터 분석 및 머신러닝 알고리즘 모델링 역량, 로컬 서비스 도메인 적합</t>
        </is>
      </c>
      <c r="I35" s="54" t="inlineStr">
        <is>
          <t>https://about.daangn.com/jobs</t>
        </is>
      </c>
    </row>
    <row r="37" ht="24" customHeight="1">
      <c r="A37" s="48" t="inlineStr">
        <is>
          <t xml:space="preserve">  🧠 [SECTION 3] EEG / 뇌공학 / BCI 생체신호 연구실 (11개 랩 - KAIST, 서울대, 고려대 등)</t>
        </is>
      </c>
    </row>
    <row r="38" ht="26" customHeight="1">
      <c r="A38" s="49" t="inlineStr">
        <is>
          <t>기관 / 기업명 (Company Name)</t>
        </is>
      </c>
      <c r="B38" s="50" t="inlineStr">
        <is>
          <t>연구실 / 부서</t>
        </is>
      </c>
      <c r="C38" s="50" t="inlineStr">
        <is>
          <t>담당 교수 / 책임자</t>
        </is>
      </c>
      <c r="D38" s="50" t="inlineStr">
        <is>
          <t>연구 주제 및 핵심 기술</t>
        </is>
      </c>
      <c r="E38" s="50" t="inlineStr">
        <is>
          <t>해외대(UCL) 지원 자격 및 경로</t>
        </is>
      </c>
      <c r="F38" s="50" t="inlineStr">
        <is>
          <t>모집 / 컨택 시기</t>
        </is>
      </c>
      <c r="G38" s="50" t="inlineStr">
        <is>
          <t>요구 스택 및 준비 서류</t>
        </is>
      </c>
      <c r="H38" s="50" t="inlineStr">
        <is>
          <t>공식 웹사이트 / 연구실 직결 링크</t>
        </is>
      </c>
    </row>
    <row r="39" ht="22" customHeight="1">
      <c r="A39" s="51" t="inlineStr">
        <is>
          <t>KAIST 바이오및뇌공학과</t>
        </is>
      </c>
      <c r="B39" s="52" t="inlineStr">
        <is>
          <t>Brain &amp; Machine Intelligence Lab</t>
        </is>
      </c>
      <c r="C39" s="52" t="inlineStr">
        <is>
          <t>이상완 교수</t>
        </is>
      </c>
      <c r="D39" s="52" t="inlineStr">
        <is>
          <t>강화학습, 뇌-기계 가치 정렬(Neural Value Alignment), BCI 시스템</t>
        </is>
      </c>
      <c r="E39" s="52" t="inlineStr">
        <is>
          <t>TrYBBE 학부생 연구 인턴십 (해외대 재학생 정식 지원 허용)</t>
        </is>
      </c>
      <c r="F39" s="53" t="inlineStr">
        <is>
          <t>2027년 5월 초 (하계 4~8주)</t>
        </is>
      </c>
      <c r="G39" s="52" t="inlineStr">
        <is>
          <t>CV, 성적표, 연구계획서 (Python, PyTorch, 강화학습)</t>
        </is>
      </c>
      <c r="H39" s="54" t="inlineStr">
        <is>
          <t>https://bioeng.kaist.ac.kr/</t>
        </is>
      </c>
    </row>
    <row r="40" ht="22" customHeight="1">
      <c r="A40" s="51" t="inlineStr">
        <is>
          <t>KAIST 바이오및뇌공학과</t>
        </is>
      </c>
      <c r="B40" s="52" t="inlineStr">
        <is>
          <t>Decision Neuroscience Lab</t>
        </is>
      </c>
      <c r="C40" s="52" t="inlineStr">
        <is>
          <t>정재승 교수</t>
        </is>
      </c>
      <c r="D40" s="52" t="inlineStr">
        <is>
          <t>EEG/fMRI 비선형 동역학, Brain-Robot Interface, 의사결정 모델링</t>
        </is>
      </c>
      <c r="E40" s="52" t="inlineStr">
        <is>
          <t>TrYBBE 학부생 프로그램 또는 랩 개별 인턴</t>
        </is>
      </c>
      <c r="F40" s="53" t="inlineStr">
        <is>
          <t>2027년 5월 초 (공식) / 3~4월 (개별)</t>
        </is>
      </c>
      <c r="G40" s="52" t="inlineStr">
        <is>
          <t>인지신경과학 배경, 생체신호 분석(Python/MATLAB)</t>
        </is>
      </c>
      <c r="H40" s="54" t="inlineStr">
        <is>
          <t>https://bioeng.kaist.ac.kr/</t>
        </is>
      </c>
    </row>
    <row r="41" ht="22" customHeight="1">
      <c r="A41" s="51" t="inlineStr">
        <is>
          <t>고려대학교 뇌공학과</t>
        </is>
      </c>
      <c r="B41" s="52" t="inlineStr">
        <is>
          <t>Pattern Recognition &amp; ML Lab (PRML)</t>
        </is>
      </c>
      <c r="C41" s="52" t="inlineStr">
        <is>
          <t>이성환 교수</t>
        </is>
      </c>
      <c r="D41" s="52" t="inlineStr">
        <is>
          <t>한국 BCI 최고 권위: Motor Imagery EEG 디코딩, Brain-to-Speech</t>
        </is>
      </c>
      <c r="E41" s="52" t="inlineStr">
        <is>
          <t>연구실(PI) 직접 컨택 (학부 연구생/방학 인턴)</t>
        </is>
      </c>
      <c r="F41" s="53" t="inlineStr">
        <is>
          <t>2027년 3~4월 (사전 이메일)</t>
        </is>
      </c>
      <c r="G41" s="52" t="inlineStr">
        <is>
          <t>Academic CV, MNE-Python 뇌파 프로젝트 포트폴리오</t>
        </is>
      </c>
      <c r="H41" s="54" t="inlineStr">
        <is>
          <t>http://pr.korea.ac.kr/</t>
        </is>
      </c>
    </row>
    <row r="42" ht="22" customHeight="1">
      <c r="A42" s="51" t="inlineStr">
        <is>
          <t>고려대학교 뇌공학과</t>
        </is>
      </c>
      <c r="B42" s="52" t="inlineStr">
        <is>
          <t>Machine Intelligence Lab</t>
        </is>
      </c>
      <c r="C42" s="52" t="inlineStr">
        <is>
          <t>석흥일 교수</t>
        </is>
      </c>
      <c r="D42" s="52" t="inlineStr">
        <is>
          <t>멀티모달 뇌영상 AI (EEG, fMRI, MRI), 설명가능 의료 AI</t>
        </is>
      </c>
      <c r="E42" s="52" t="inlineStr">
        <is>
          <t>연구실 직접 컨택 또는 대학원 인턴십</t>
        </is>
      </c>
      <c r="F42" s="53" t="inlineStr">
        <is>
          <t>2027년 3~4월</t>
        </is>
      </c>
      <c r="G42" s="52" t="inlineStr">
        <is>
          <t>PyTorch, 다채널 시계열 신호처리, 통계적 기계학습</t>
        </is>
      </c>
      <c r="H42" s="54" t="inlineStr">
        <is>
          <t>https://milab.korea.ac.kr/</t>
        </is>
      </c>
    </row>
    <row r="43" ht="22" customHeight="1">
      <c r="A43" s="51" t="inlineStr">
        <is>
          <t>서울대학교 뇌인지과학과</t>
        </is>
      </c>
      <c r="B43" s="52" t="inlineStr">
        <is>
          <t>자연과학대학 학부생 인턴십</t>
        </is>
      </c>
      <c r="C43" s="52" t="inlineStr">
        <is>
          <t>이상훈 교수 / 장병탁 교수</t>
        </is>
      </c>
      <c r="D43" s="52" t="inlineStr">
        <is>
          <t>계산적 fMRI, 시각 인지 모델링, Brain-inspired 인지 AI</t>
        </is>
      </c>
      <c r="E43" s="52" t="inlineStr">
        <is>
          <t>서울대 자연대 인턴십 프로그램 (국외 대학 소속자 지원 가능)</t>
        </is>
      </c>
      <c r="F43" s="53" t="inlineStr">
        <is>
          <t>2027년 4월 말 ~ 5월 초</t>
        </is>
      </c>
      <c r="G43" s="52" t="inlineStr">
        <is>
          <t>재학증명서, 성적표, 출입국사실증명원, 연구계획서</t>
        </is>
      </c>
      <c r="H43" s="54" t="inlineStr">
        <is>
          <t>https://cns.snu.ac.kr/</t>
        </is>
      </c>
    </row>
    <row r="44" ht="22" customHeight="1">
      <c r="A44" s="51" t="inlineStr">
        <is>
          <t>KIST 뇌과학연구소 (BSI)</t>
        </is>
      </c>
      <c r="B44" s="52" t="inlineStr">
        <is>
          <t>바이오닉스연구센터</t>
        </is>
      </c>
      <c r="C44" s="52" t="inlineStr">
        <is>
          <t>김래현 책임연구원</t>
        </is>
      </c>
      <c r="D44" s="52" t="inlineStr">
        <is>
          <t>Motor Imagery 기반 외골격 로봇 BCI 제어, 임상 폐루프 EEG</t>
        </is>
      </c>
      <c r="E44" s="52" t="inlineStr">
        <is>
          <t>학부 연구연수생 (PI 직접 컨택 후 과제 TO 배정)</t>
        </is>
      </c>
      <c r="F44" s="53" t="inlineStr">
        <is>
          <t>2027년 2~4월 (방학 2~3달 전)</t>
        </is>
      </c>
      <c r="G44" s="52" t="inlineStr">
        <is>
          <t>CV, 뇌파 분석 경험, 영문 커버레터, 가용 기간 명시</t>
        </is>
      </c>
      <c r="H44" s="54" t="inlineStr">
        <is>
          <t>https://www.kist.re.kr/ko/research/divisions/brain-science.do</t>
        </is>
      </c>
    </row>
    <row r="45" ht="22" customHeight="1">
      <c r="A45" s="51" t="inlineStr">
        <is>
          <t>KIST 뇌과학연구소 (BSI)</t>
        </is>
      </c>
      <c r="B45" s="52" t="inlineStr">
        <is>
          <t>바이오마이크로시스템연구단</t>
        </is>
      </c>
      <c r="C45" s="52" t="inlineStr">
        <is>
          <t>조일주 단장 / 이창혁 박사</t>
        </is>
      </c>
      <c r="D45" s="52" t="inlineStr">
        <is>
          <t>반도체 기반 광-전자 초소형 BCI 칩, 뇌신경 전극 프로브</t>
        </is>
      </c>
      <c r="E45" s="52" t="inlineStr">
        <is>
          <t>연구연수생 개별 컨택</t>
        </is>
      </c>
      <c r="F45" s="53" t="inlineStr">
        <is>
          <t>2027년 2~4월</t>
        </is>
      </c>
      <c r="G45" s="52" t="inlineStr">
        <is>
          <t>의공학/생체신호 기초 지식, 연구 몰입도</t>
        </is>
      </c>
      <c r="H45" s="54" t="inlineStr">
        <is>
          <t>https://www.kist.re.kr/ko/research/divisions/brain-science.do</t>
        </is>
      </c>
    </row>
    <row r="46" ht="22" customHeight="1">
      <c r="A46" s="51" t="inlineStr">
        <is>
          <t>IBS (기초과학연구원)</t>
        </is>
      </c>
      <c r="B46" s="52" t="inlineStr">
        <is>
          <t>기억 및 교세포 연구단 (구 인지및사회성)</t>
        </is>
      </c>
      <c r="C46" s="52" t="inlineStr">
        <is>
          <t>이창준 단장 (교세포과학)</t>
        </is>
      </c>
      <c r="D46" s="52" t="inlineStr">
        <is>
          <t>알츠하이머, 기억 인코딩, 교세포-신경세포 상호작용</t>
        </is>
      </c>
      <c r="E46" s="52" t="inlineStr">
        <is>
          <t>IBS 생명과학 클러스터 하계 인턴십 / PI 직접 컨택</t>
        </is>
      </c>
      <c r="F46" s="53" t="inlineStr">
        <is>
          <t>2027년 5월 초</t>
        </is>
      </c>
      <c r="G46" s="52" t="inlineStr">
        <is>
          <t>신경과학/인지과학 전공 배경, 데이터 분석</t>
        </is>
      </c>
      <c r="H46" s="54" t="inlineStr">
        <is>
          <t>https://centers.ibs.re.kr/glia</t>
        </is>
      </c>
    </row>
    <row r="47" ht="22" customHeight="1">
      <c r="A47" s="51" t="inlineStr">
        <is>
          <t>룩시드랩스 (Looxid Labs)</t>
        </is>
      </c>
      <c r="B47" s="52" t="inlineStr">
        <is>
          <t>생체신호 R&amp;D 본부</t>
        </is>
      </c>
      <c r="C47" s="52" t="inlineStr">
        <is>
          <t>채용팀 (수시)</t>
        </is>
      </c>
      <c r="D47" s="52" t="inlineStr">
        <is>
          <t>EEG/ECG 시계열 전처리 알고리즘, 뇌파-시선 인터페이스 인지 분석</t>
        </is>
      </c>
      <c r="E47" s="52" t="inlineStr">
        <is>
          <t>스타트업 인턴/주니어 수시 채용 풀</t>
        </is>
      </c>
      <c r="F47" s="53" t="inlineStr">
        <is>
          <t>상시 채용</t>
        </is>
      </c>
      <c r="G47" s="52" t="inlineStr">
        <is>
          <t>Python, SciPy, MNE, 생체신호 필터링/특징추출</t>
        </is>
      </c>
      <c r="H47" s="54" t="inlineStr">
        <is>
          <t>https://www.wanted.co.kr/search?query=%EB%A3%A9%EC%8B%9C%EB%93%9C%EB%9E%A9%EC%8A%A4</t>
        </is>
      </c>
    </row>
    <row r="48" ht="22" customHeight="1">
      <c r="A48" s="51" t="inlineStr">
        <is>
          <t>뉴로핏 (Neurophet)</t>
        </is>
      </c>
      <c r="B48" s="52" t="inlineStr">
        <is>
          <t>뇌질환 솔루션 R&amp;D</t>
        </is>
      </c>
      <c r="C48" s="52" t="inlineStr">
        <is>
          <t>채용팀 (수시)</t>
        </is>
      </c>
      <c r="D48" s="52" t="inlineStr">
        <is>
          <t>뇌파(EEG) 및 MRI 정량 분석, 치매/뇌졸중 진단 보조 AI</t>
        </is>
      </c>
      <c r="E48" s="52" t="inlineStr">
        <is>
          <t>채용연계형 / 체험형 인턴</t>
        </is>
      </c>
      <c r="F48" s="53" t="inlineStr">
        <is>
          <t>상시 채용</t>
        </is>
      </c>
      <c r="G48" s="52" t="inlineStr">
        <is>
          <t>의공학, 인지신경, 파이썬 의료 데이터 분석</t>
        </is>
      </c>
      <c r="H48" s="54" t="inlineStr">
        <is>
          <t>https://www.wanted.co.kr/search?query=%EB%89%B4%EB%A1%9C%ED%95%8F</t>
        </is>
      </c>
    </row>
    <row r="49" ht="22" customHeight="1">
      <c r="A49" s="51" t="inlineStr">
        <is>
          <t>뷰노 (VUNO)</t>
        </is>
      </c>
      <c r="B49" s="52" t="inlineStr">
        <is>
          <t>생체신호 AI 연구팀</t>
        </is>
      </c>
      <c r="C49" s="52" t="inlineStr">
        <is>
          <t>채용팀 (수시)</t>
        </is>
      </c>
      <c r="D49" s="52" t="inlineStr">
        <is>
          <t>심전도(ECG) 및 활력징후(V/S) 시계열 딥러닝 예측 (DeepCARS)</t>
        </is>
      </c>
      <c r="E49" s="52" t="inlineStr">
        <is>
          <t>수시 인재풀 등록</t>
        </is>
      </c>
      <c r="F49" s="53" t="inlineStr">
        <is>
          <t>상시 채용</t>
        </is>
      </c>
      <c r="G49" s="52" t="inlineStr">
        <is>
          <t>Python, PyTorch, 시계열 신호처리 모델링</t>
        </is>
      </c>
      <c r="H49" s="54" t="inlineStr">
        <is>
          <t>https://vuno.co/career</t>
        </is>
      </c>
    </row>
  </sheetData>
  <autoFilter ref="A2:I49"/>
  <mergeCells count="3">
    <mergeCell ref="A1:I1"/>
    <mergeCell ref="A23:I23"/>
    <mergeCell ref="A37:H37"/>
  </mergeCells>
  <dataValidations count="1">
    <dataValidation sqref="B3:B22" showDropDown="0" showInputMessage="0" showErrorMessage="0" allowBlank="1" type="list">
      <formula1>"Data Analyst,Data Scientist,Business Analyst,Business / Ops Analyst,Product Designer"</formula1>
    </dataValidation>
  </dataValidation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5" r:id="rId20"/>
    <hyperlink xmlns:r="http://schemas.openxmlformats.org/officeDocument/2006/relationships" ref="I26" r:id="rId21"/>
    <hyperlink xmlns:r="http://schemas.openxmlformats.org/officeDocument/2006/relationships" ref="I27" r:id="rId22"/>
    <hyperlink xmlns:r="http://schemas.openxmlformats.org/officeDocument/2006/relationships" ref="I28" r:id="rId23"/>
    <hyperlink xmlns:r="http://schemas.openxmlformats.org/officeDocument/2006/relationships" ref="I29" r:id="rId24"/>
    <hyperlink xmlns:r="http://schemas.openxmlformats.org/officeDocument/2006/relationships" ref="I30" r:id="rId25"/>
    <hyperlink xmlns:r="http://schemas.openxmlformats.org/officeDocument/2006/relationships" ref="I31" r:id="rId26"/>
    <hyperlink xmlns:r="http://schemas.openxmlformats.org/officeDocument/2006/relationships" ref="I32" r:id="rId27"/>
    <hyperlink xmlns:r="http://schemas.openxmlformats.org/officeDocument/2006/relationships" ref="I33" r:id="rId28"/>
    <hyperlink xmlns:r="http://schemas.openxmlformats.org/officeDocument/2006/relationships" ref="I34" r:id="rId29"/>
    <hyperlink xmlns:r="http://schemas.openxmlformats.org/officeDocument/2006/relationships" ref="I35" r:id="rId30"/>
    <hyperlink xmlns:r="http://schemas.openxmlformats.org/officeDocument/2006/relationships" ref="H39" r:id="rId31"/>
    <hyperlink xmlns:r="http://schemas.openxmlformats.org/officeDocument/2006/relationships" ref="H40" r:id="rId32"/>
    <hyperlink xmlns:r="http://schemas.openxmlformats.org/officeDocument/2006/relationships" ref="H41" r:id="rId33"/>
    <hyperlink xmlns:r="http://schemas.openxmlformats.org/officeDocument/2006/relationships" ref="H42" r:id="rId34"/>
    <hyperlink xmlns:r="http://schemas.openxmlformats.org/officeDocument/2006/relationships" ref="H43" r:id="rId35"/>
    <hyperlink xmlns:r="http://schemas.openxmlformats.org/officeDocument/2006/relationships" ref="H44" r:id="rId36"/>
    <hyperlink xmlns:r="http://schemas.openxmlformats.org/officeDocument/2006/relationships" ref="H45" r:id="rId37"/>
    <hyperlink xmlns:r="http://schemas.openxmlformats.org/officeDocument/2006/relationships" ref="H46" r:id="rId38"/>
    <hyperlink xmlns:r="http://schemas.openxmlformats.org/officeDocument/2006/relationships" ref="H47" r:id="rId39"/>
    <hyperlink xmlns:r="http://schemas.openxmlformats.org/officeDocument/2006/relationships" ref="H48" r:id="rId40"/>
    <hyperlink xmlns:r="http://schemas.openxmlformats.org/officeDocument/2006/relationships" ref="H49" r:id="rId4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I30"/>
  <sheetViews>
    <sheetView showGridLines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48" customWidth="1" min="2" max="2"/>
    <col width="48" customWidth="1" min="3" max="3"/>
    <col width="42" customWidth="1" min="4" max="4"/>
    <col width="52" customWidth="1" min="5" max="5"/>
    <col width="52" customWidth="1" min="6" max="6"/>
    <col width="52" customWidth="1" min="7" max="7"/>
    <col width="42" customWidth="1" min="8" max="8"/>
    <col width="38" customWidth="1" min="9" max="9"/>
  </cols>
  <sheetData>
    <row r="1" ht="24" customHeight="1">
      <c r="A1" s="48" t="inlineStr">
        <is>
          <t xml:space="preserve">  💼 [SECTION 1] 전략컨설팅 RA (11개 포지션 - Bain ACT, McKinsey, BCG, LEK 등)</t>
        </is>
      </c>
    </row>
    <row r="2" ht="26" customHeight="1">
      <c r="A2" s="49" t="inlineStr">
        <is>
          <t>기업명 (Company Name)</t>
        </is>
      </c>
      <c r="B2" s="50" t="inlineStr">
        <is>
          <t>포지션명</t>
        </is>
      </c>
      <c r="C2" s="50" t="inlineStr">
        <is>
          <t>근무 기간</t>
        </is>
      </c>
      <c r="D2" s="50" t="inlineStr">
        <is>
          <t>모집 주기</t>
        </is>
      </c>
      <c r="E2" s="50" t="inlineStr">
        <is>
          <t>주요 업무</t>
        </is>
      </c>
      <c r="F2" s="50" t="inlineStr">
        <is>
          <t>지원 자격 및 우대 역량</t>
        </is>
      </c>
      <c r="G2" s="50" t="inlineStr">
        <is>
          <t>지원 방법 및 접수처</t>
        </is>
      </c>
      <c r="H2" s="50" t="inlineStr">
        <is>
          <t>공식 채용 직결 링크</t>
        </is>
      </c>
    </row>
    <row r="3" ht="22" customHeight="1">
      <c r="A3" s="51" t="inlineStr">
        <is>
          <t>Bain &amp; Company Seoul</t>
        </is>
      </c>
      <c r="B3" s="52" t="inlineStr">
        <is>
          <t>Associate Consultant Trainee (ACT)</t>
        </is>
      </c>
      <c r="C3" s="52" t="inlineStr">
        <is>
          <t>2~3개월 연속</t>
        </is>
      </c>
      <c r="D3" s="52" t="inlineStr">
        <is>
          <t>연 3회 정기 (봄/여름/겨울) &amp; 수시</t>
        </is>
      </c>
      <c r="E3" s="52" t="inlineStr">
        <is>
          <t>실제 클라이언트 케이스 투입, 정량 데이터/재무 분석, 산업 리서치</t>
        </is>
      </c>
      <c r="F3" s="52" t="inlineStr">
        <is>
          <t>학부/대학원생 (전공 무관), 논리적 사고력, 한국어/영어 능통</t>
        </is>
      </c>
      <c r="G3" s="52" t="inlineStr">
        <is>
          <t>Bain Careers 온라인 또는 Recruiting.Seoul@Bain.com</t>
        </is>
      </c>
      <c r="H3" s="54" t="inlineStr">
        <is>
          <t>https://www.bain.com/careers/roles/act/</t>
        </is>
      </c>
    </row>
    <row r="4" ht="22" customHeight="1">
      <c r="A4" s="51" t="inlineStr">
        <is>
          <t>McKinsey &amp; Company Seoul</t>
        </is>
      </c>
      <c r="B4" s="52" t="inlineStr">
        <is>
          <t>Summer Business Analyst Intern</t>
        </is>
      </c>
      <c r="C4" s="52" t="inlineStr">
        <is>
          <t>8~10주 (하계)</t>
        </is>
      </c>
      <c r="D4" s="52" t="inlineStr">
        <is>
          <t>매년 가을 공채 (페널티메이트)</t>
        </is>
      </c>
      <c r="E4" s="52" t="inlineStr">
        <is>
          <t>클라이언트 전략 수립 지원, 가설 검증, 정량 데이터 모델링</t>
        </is>
      </c>
      <c r="F4" s="52" t="inlineStr">
        <is>
          <t>학사 페널티메이트 재학생, 탁월한 문제 해결력</t>
        </is>
      </c>
      <c r="G4" s="52" t="inlineStr">
        <is>
          <t>McKinsey Korea Careers</t>
        </is>
      </c>
      <c r="H4" s="54" t="inlineStr">
        <is>
          <t>https://www.mckinsey.com/kr/careers</t>
        </is>
      </c>
    </row>
    <row r="5" ht="22" customHeight="1">
      <c r="A5" s="51" t="inlineStr">
        <is>
          <t>McKinsey &amp; Company Seoul</t>
        </is>
      </c>
      <c r="B5" s="52" t="inlineStr">
        <is>
          <t>Project Research Assistant (RA)</t>
        </is>
      </c>
      <c r="C5" s="52" t="inlineStr">
        <is>
          <t>1~3개월 (프로젝트)</t>
        </is>
      </c>
      <c r="D5" s="52" t="inlineStr">
        <is>
          <t>수시 채용</t>
        </is>
      </c>
      <c r="E5" s="52" t="inlineStr">
        <is>
          <t>산업 벤치마킹, 데스크 리서치, 전문가 인터뷰 보조</t>
        </is>
      </c>
      <c r="F5" s="52" t="inlineStr">
        <is>
          <t>학부 3학년 이상, 영어 리서치 능통자</t>
        </is>
      </c>
      <c r="G5" s="52" t="inlineStr">
        <is>
          <t>대학 경력개발센터(CDC) 및 수시 공고</t>
        </is>
      </c>
      <c r="H5" s="54" t="inlineStr">
        <is>
          <t>https://www.mckinsey.com/kr/careers</t>
        </is>
      </c>
    </row>
    <row r="6" ht="22" customHeight="1">
      <c r="A6" s="51" t="inlineStr">
        <is>
          <t>Boston Consulting Group (BCG)</t>
        </is>
      </c>
      <c r="B6" s="52" t="inlineStr">
        <is>
          <t>Summer Associate Program</t>
        </is>
      </c>
      <c r="C6" s="52" t="inlineStr">
        <is>
          <t>8주 (하계)</t>
        </is>
      </c>
      <c r="D6" s="52" t="inlineStr">
        <is>
          <t>연 1회 정기 공채</t>
        </is>
      </c>
      <c r="E6" s="52" t="inlineStr">
        <is>
          <t>전략 컨설팅 프로젝트 핵심 팀원 투입, 우수자 리턴 오퍼</t>
        </is>
      </c>
      <c r="F6" s="52" t="inlineStr">
        <is>
          <t>학부 페널티메이트 재학생, 케이스 인터뷰 통과자</t>
        </is>
      </c>
      <c r="G6" s="52" t="inlineStr">
        <is>
          <t>BCG Careers Korea</t>
        </is>
      </c>
      <c r="H6" s="54" t="inlineStr">
        <is>
          <t>https://careers.bcg.com/</t>
        </is>
      </c>
    </row>
    <row r="7" ht="22" customHeight="1">
      <c r="A7" s="51" t="inlineStr">
        <is>
          <t>Boston Consulting Group (BCG)</t>
        </is>
      </c>
      <c r="B7" s="52" t="inlineStr">
        <is>
          <t>Project RA / Project Intern</t>
        </is>
      </c>
      <c r="C7" s="52" t="inlineStr">
        <is>
          <t>2~3개월 (프로젝트)</t>
        </is>
      </c>
      <c r="D7" s="52" t="inlineStr">
        <is>
          <t>수시 채용</t>
        </is>
      </c>
      <c r="E7" s="52" t="inlineStr">
        <is>
          <t>데이터 수집/정제, 시장 규모 추정, 슬라이드 구조화</t>
        </is>
      </c>
      <c r="F7" s="52" t="inlineStr">
        <is>
          <t>학부생, 엑셀/데이터 분석 숙련자</t>
        </is>
      </c>
      <c r="G7" s="52" t="inlineStr">
        <is>
          <t>대학 CDC 및 링크드인 공고</t>
        </is>
      </c>
      <c r="H7" s="54" t="inlineStr">
        <is>
          <t>https://careers.bcg.com/</t>
        </is>
      </c>
    </row>
    <row r="8" ht="22" customHeight="1">
      <c r="A8" s="51" t="inlineStr">
        <is>
          <t>Kearney Korea (커니 코리아)</t>
        </is>
      </c>
      <c r="B8" s="52" t="inlineStr">
        <is>
          <t>Research Assistant (RA)</t>
        </is>
      </c>
      <c r="C8" s="52" t="inlineStr">
        <is>
          <t>2~3개월 (프로젝트)</t>
        </is>
      </c>
      <c r="D8" s="52" t="inlineStr">
        <is>
          <t>상시 수시 채용</t>
        </is>
      </c>
      <c r="E8" s="52" t="inlineStr">
        <is>
          <t>전략 프로젝트 정량 데이터 분석, 벤치마킹, 인터뷰 지원</t>
        </is>
      </c>
      <c r="F8" s="52" t="inlineStr">
        <is>
          <t>학부 3학년 이상, SQL 데이터 추출 가능자 우대</t>
        </is>
      </c>
      <c r="G8" s="52" t="inlineStr">
        <is>
          <t>seoul.recruiting@kearney.com 영문 이력서 송부</t>
        </is>
      </c>
      <c r="H8" s="54" t="inlineStr">
        <is>
          <t>https://www.superookie.com/jobs?keyword=%EC%BB%A4%EB%8B%88</t>
        </is>
      </c>
    </row>
    <row r="9" ht="22" customHeight="1">
      <c r="A9" s="51" t="inlineStr">
        <is>
          <t>Oliver Wyman Seoul</t>
        </is>
      </c>
      <c r="B9" s="52" t="inlineStr">
        <is>
          <t>Retirement Consulting / Strategy Intern</t>
        </is>
      </c>
      <c r="C9" s="52" t="inlineStr">
        <is>
          <t>3~6개월 (전환형)</t>
        </is>
      </c>
      <c r="D9" s="52" t="inlineStr">
        <is>
          <t>상시 채용</t>
        </is>
      </c>
      <c r="E9" s="52" t="inlineStr">
        <is>
          <t>전략 컨설팅 및 리서치, 계리/통계 데이터 모델링</t>
        </is>
      </c>
      <c r="F9" s="52" t="inlineStr">
        <is>
          <t>학사 졸업(예정)자, 여의도 3 IFC 오피스 근무</t>
        </is>
      </c>
      <c r="G9" s="52" t="inlineStr">
        <is>
          <t>Marsh McLennan / Oliver Wyman Careers</t>
        </is>
      </c>
      <c r="H9" s="54" t="inlineStr">
        <is>
          <t>https://www.oliverwyman.com/careers.html</t>
        </is>
      </c>
    </row>
    <row r="10" ht="22" customHeight="1">
      <c r="A10" s="51" t="inlineStr">
        <is>
          <t>Arthur D. Little (ADL Korea)</t>
        </is>
      </c>
      <c r="B10" s="52" t="inlineStr">
        <is>
          <t>Research Associate (RA) - 전환형</t>
        </is>
      </c>
      <c r="C10" s="52" t="inlineStr">
        <is>
          <t>3~6개월</t>
        </is>
      </c>
      <c r="D10" s="52" t="inlineStr">
        <is>
          <t>상시 채용</t>
        </is>
      </c>
      <c r="E10" s="52" t="inlineStr">
        <is>
          <t>신사업 전략 리서치, 인터뷰, 데이터 분석 (조기 정규직 전환)</t>
        </is>
      </c>
      <c r="F10" s="52" t="inlineStr">
        <is>
          <t>학·석사 졸업(예정)자, 영문 리서치 및 코딩 우대</t>
        </is>
      </c>
      <c r="G10" s="52" t="inlineStr">
        <is>
          <t>careers.korea@adlittle.com 영문 Resume 제출</t>
        </is>
      </c>
      <c r="H10" s="54" t="inlineStr">
        <is>
          <t>https://www.adlittle.com/en/careers</t>
        </is>
      </c>
    </row>
    <row r="11" ht="22" customHeight="1">
      <c r="A11" s="51" t="inlineStr">
        <is>
          <t>Reddal Korea (레달 코리아)</t>
        </is>
      </c>
      <c r="B11" s="52" t="inlineStr">
        <is>
          <t>Business Analyst Intern (사업개발/전략)</t>
        </is>
      </c>
      <c r="C11" s="52" t="inlineStr">
        <is>
          <t>3~6개월</t>
        </is>
      </c>
      <c r="D11" s="52" t="inlineStr">
        <is>
          <t>수시 채용 (ASAP)</t>
        </is>
      </c>
      <c r="E11" s="52" t="inlineStr">
        <is>
          <t>핀란드 기반 글로벌 전략 펌, 헬싱키 본사 트레이닝 및 해외 프로젝트</t>
        </is>
      </c>
      <c r="F11" s="52" t="inlineStr">
        <is>
          <t>졸업(예정)자, 비즈니스 영어 능통자 필수</t>
        </is>
      </c>
      <c r="G11" s="54" t="inlineStr">
        <is>
          <t>http://reddal.com/join-reddal/ 또는 슈퍼루키</t>
        </is>
      </c>
      <c r="H11" s="54" t="inlineStr">
        <is>
          <t>https://www.superookie.com/jobs?keyword=%EB%A0%88%EB%8B%AC</t>
        </is>
      </c>
    </row>
    <row r="12" ht="22" customHeight="1">
      <c r="A12" s="51" t="inlineStr">
        <is>
          <t>EY-Parthenon (전략자문)</t>
        </is>
      </c>
      <c r="B12" s="52" t="inlineStr">
        <is>
          <t>Strategy T-Plus RA 인턴</t>
        </is>
      </c>
      <c r="C12" s="52" t="inlineStr">
        <is>
          <t>3~6개월</t>
        </is>
      </c>
      <c r="D12" s="52" t="inlineStr">
        <is>
          <t>상시 수시 채용</t>
        </is>
      </c>
      <c r="E12" s="52" t="inlineStr">
        <is>
          <t>M&amp;A 상업적 실사(CDD), 신사업 전략 시장/재무 데이터 분석</t>
        </is>
      </c>
      <c r="F12" s="52" t="inlineStr">
        <is>
          <t>재무/데이터 분석 기초 지식, 엑셀 능숙자</t>
        </is>
      </c>
      <c r="G12" s="52" t="inlineStr">
        <is>
          <t>EY Korea Careers / 슈퍼루키</t>
        </is>
      </c>
      <c r="H12" s="54" t="inlineStr">
        <is>
          <t>https://www.superookie.com/jobs?keyword=EY%ED%95%9C%EC%98%81</t>
        </is>
      </c>
    </row>
    <row r="13" ht="22" customHeight="1">
      <c r="A13" s="51" t="inlineStr">
        <is>
          <t>LG경영개발원</t>
        </is>
      </c>
      <c r="B13" s="52" t="inlineStr">
        <is>
          <t>경영전략 리서치 RA</t>
        </is>
      </c>
      <c r="C13" s="52" t="inlineStr">
        <is>
          <t>3~6개월</t>
        </is>
      </c>
      <c r="D13" s="52" t="inlineStr">
        <is>
          <t>상시 수시 채용</t>
        </is>
      </c>
      <c r="E13" s="52" t="inlineStr">
        <is>
          <t>글로벌 거시경제, 테크 트렌드, AI 시장 리서치 보고서 작성</t>
        </is>
      </c>
      <c r="F13" s="52" t="inlineStr">
        <is>
          <t>학부 재학생/휴학생, 영문 보고서 작성 역량</t>
        </is>
      </c>
      <c r="G13" s="52" t="inlineStr">
        <is>
          <t>피플앤잡 / 자사 채용</t>
        </is>
      </c>
      <c r="H13" s="54" t="inlineStr">
        <is>
          <t>https://www.peoplenjob.com/</t>
        </is>
      </c>
    </row>
    <row r="15" ht="24" customHeight="1">
      <c r="A15" s="48" t="inlineStr">
        <is>
          <t xml:space="preserve">  🏢 [SECTION 2] 대기업 해외대 학부 하계인턴 2027 (5대 전형 - 삼성전자 DX/DS, SK하이닉스 등)</t>
        </is>
      </c>
    </row>
    <row r="16" ht="26" customHeight="1">
      <c r="A16" s="49" t="inlineStr">
        <is>
          <t>기업명 (Company Name)</t>
        </is>
      </c>
      <c r="B16" s="50" t="inlineStr">
        <is>
          <t>전형 명칭</t>
        </is>
      </c>
      <c r="C16" s="50" t="inlineStr">
        <is>
          <t>모집 사업부 / 직무</t>
        </is>
      </c>
      <c r="D16" s="50" t="inlineStr">
        <is>
          <t>접수 시기</t>
        </is>
      </c>
      <c r="E16" s="50" t="inlineStr">
        <is>
          <t>실습 기간</t>
        </is>
      </c>
      <c r="F16" s="50" t="inlineStr">
        <is>
          <t>지원 자격 (UCL 기준)</t>
        </is>
      </c>
      <c r="G16" s="50" t="inlineStr">
        <is>
          <t>선발 전형 단계</t>
        </is>
      </c>
      <c r="H16" s="50" t="inlineStr">
        <is>
          <t>정규직 전환 및 혜택</t>
        </is>
      </c>
      <c r="I16" s="50" t="inlineStr">
        <is>
          <t>공식 채용 포털 직결 링크</t>
        </is>
      </c>
    </row>
    <row r="17" ht="22" customHeight="1">
      <c r="A17" s="51" t="inlineStr">
        <is>
          <t>삼성전자 DX부문</t>
        </is>
      </c>
      <c r="B17" s="52" t="inlineStr">
        <is>
          <t>해외대 학부 하계 인턴십</t>
        </is>
      </c>
      <c r="C17" s="52" t="inlineStr">
        <is>
          <t>Samsung Research, MX사업부, 빅데이터센터, 영상디스플레이</t>
        </is>
      </c>
      <c r="D17" s="53" t="inlineStr">
        <is>
          <t>2027년 2월 말 ~ 3월 초</t>
        </is>
      </c>
      <c r="E17" s="52" t="inlineStr">
        <is>
          <t>하계 6주 (7월 초 ~ 8월 중순)</t>
        </is>
      </c>
      <c r="F17" s="52" t="inlineStr">
        <is>
          <t>해외 대학 학부 재학생 (2028년 6월 졸업 예정자 완벽 부합), 군필자</t>
        </is>
      </c>
      <c r="G17" s="52" t="inlineStr">
        <is>
          <t>지원서 접수 → 온라인 GSAT / SW테스트 → 화상 면접 → 인턴 입과</t>
        </is>
      </c>
      <c r="H17" s="52" t="inlineStr">
        <is>
          <t>인턴 수료 평가 후 정규직 신입 입사 확정 (전환율 매우 높음)</t>
        </is>
      </c>
      <c r="I17" s="54" t="inlineStr">
        <is>
          <t>https://www.samsungcareers.com/</t>
        </is>
      </c>
    </row>
    <row r="18" ht="22" customHeight="1">
      <c r="A18" s="51" t="inlineStr">
        <is>
          <t>삼성전자 DS부문</t>
        </is>
      </c>
      <c r="B18" s="52" t="inlineStr">
        <is>
          <t>해외대 학부 하계 인턴십</t>
        </is>
      </c>
      <c r="C18" s="52" t="inlineStr">
        <is>
          <t>System LSI, 반도체 AI 연구소, 파운드리 SW</t>
        </is>
      </c>
      <c r="D18" s="53" t="inlineStr">
        <is>
          <t>2027년 2월 말 ~ 3월 초</t>
        </is>
      </c>
      <c r="E18" s="52" t="inlineStr">
        <is>
          <t>하계 6주 (7월 초 ~ 8월 중순)</t>
        </is>
      </c>
      <c r="F18" s="52" t="inlineStr">
        <is>
          <t>해외대 학부 재학생, 전기전자/컴공/데이터/뇌공학 전공</t>
        </is>
      </c>
      <c r="G18" s="52" t="inlineStr">
        <is>
          <t>지원서 접수 → GSAT/SW테스트 → 화상 면접</t>
        </is>
      </c>
      <c r="H18" s="52" t="inlineStr">
        <is>
          <t>정규직 신입 전환 기회 부여</t>
        </is>
      </c>
      <c r="I18" s="54" t="inlineStr">
        <is>
          <t>https://www.samsungcareers.com/</t>
        </is>
      </c>
    </row>
    <row r="19" ht="22" customHeight="1">
      <c r="A19" s="51" t="inlineStr">
        <is>
          <t>현대자동차</t>
        </is>
      </c>
      <c r="B19" s="52" t="inlineStr">
        <is>
          <t>H-Experience 해외대 인턴십</t>
        </is>
      </c>
      <c r="C19" s="52" t="inlineStr">
        <is>
          <t>SDV(차량 데이터 분석), 자율주행 SW, Robotics, Feature UX</t>
        </is>
      </c>
      <c r="D19" s="53" t="inlineStr">
        <is>
          <t>2027년 4월 초 (약 2주간)</t>
        </is>
      </c>
      <c r="E19" s="52" t="inlineStr">
        <is>
          <t>하계 5~8주 (7월 ~ 8월)</t>
        </is>
      </c>
      <c r="F19" s="52" t="inlineStr">
        <is>
          <t>해외 학사/석사 재학생 및 1년 이내 졸업자, 한국어/영어 능통</t>
        </is>
      </c>
      <c r="G19" s="52" t="inlineStr">
        <is>
          <t>서류 전형 → 코딩테스트 / AI 역량검사 → 화상 실무면접</t>
        </is>
      </c>
      <c r="H19" s="52" t="inlineStr">
        <is>
          <t>우수 수료자 대상 최종면접 후 정규직 채용</t>
        </is>
      </c>
      <c r="I19" s="54" t="inlineStr">
        <is>
          <t>https://talent.hyundai.com/</t>
        </is>
      </c>
    </row>
    <row r="20" ht="22" customHeight="1">
      <c r="A20" s="51" t="inlineStr">
        <is>
          <t>LG AI연구원</t>
        </is>
      </c>
      <c r="B20" s="52" t="inlineStr">
        <is>
          <t>글로벌 Summer Research Intern</t>
        </is>
      </c>
      <c r="C20" s="52" t="inlineStr">
        <is>
          <t>Foundation Model, 언어, 비전, Brain-inspired AI</t>
        </is>
      </c>
      <c r="D20" s="53" t="inlineStr">
        <is>
          <t>2026년 12월 ~ 2027년 1월 (조기) / 수시</t>
        </is>
      </c>
      <c r="E20" s="52" t="inlineStr">
        <is>
          <t>하계 8주 (마곡 사이언스파크)</t>
        </is>
      </c>
      <c r="F20" s="52" t="inlineStr">
        <is>
          <t>PyTorch 딥러닝 연구 역량 보유 학·석사, 최상위 컨퍼런스 논문 우대</t>
        </is>
      </c>
      <c r="G20" s="52" t="inlineStr">
        <is>
          <t>서류 심사 → 코딩테스트 → 연구 기술면접 (2회)</t>
        </is>
      </c>
      <c r="H20" s="52" t="inlineStr">
        <is>
          <t>정규 연구원 전환 및 글로벌 펠로우십 연계</t>
        </is>
      </c>
      <c r="I20" s="54" t="inlineStr">
        <is>
          <t>https://careers.lg.com/</t>
        </is>
      </c>
    </row>
    <row r="21" ht="22" customHeight="1">
      <c r="A21" s="51" t="inlineStr">
        <is>
          <t>SK텔레콤</t>
        </is>
      </c>
      <c r="B21" s="52" t="inlineStr">
        <is>
          <t>Junior Talent (Global Track)</t>
        </is>
      </c>
      <c r="C21" s="52" t="inlineStr">
        <is>
          <t>AI Agent 개발, Telco AI, Tech Infra, Data Analytics</t>
        </is>
      </c>
      <c r="D21" s="53" t="inlineStr">
        <is>
          <t>매년 8~9월 (메인) 및 봄 수시</t>
        </is>
      </c>
      <c r="E21" s="52" t="inlineStr">
        <is>
          <t>2개월 인턴십 또는 즉시 입사</t>
        </is>
      </c>
      <c r="F21" s="52" t="inlineStr">
        <is>
          <t>1년 이내 학사 졸업예정자 (전공 무관, 실무 데이터/SW 역량)</t>
        </is>
      </c>
      <c r="G21" s="52" t="inlineStr">
        <is>
          <t>서류 및 수강과목 제출 (자기소개서 면제) → SKCT 인적성 → 직무 인터뷰</t>
        </is>
      </c>
      <c r="H21" s="52" t="inlineStr">
        <is>
          <t>채용연계형 인턴 후 신입 입사</t>
        </is>
      </c>
      <c r="I21" s="54" t="inlineStr">
        <is>
          <t>https://careers.sktelecom.com/</t>
        </is>
      </c>
    </row>
    <row r="23" ht="24" customHeight="1">
      <c r="A23" s="48" t="inlineStr">
        <is>
          <t xml:space="preserve">  📈 [SECTION 3] 외국계 금융 / 글로벌 IB 서울 오피스 (6개 프로그램 - 모건스탠리, 골드만삭스, BofA 등)</t>
        </is>
      </c>
    </row>
    <row r="24" ht="26" customHeight="1">
      <c r="A24" s="49" t="inlineStr">
        <is>
          <t>기업명 (Company Name)</t>
        </is>
      </c>
      <c r="B24" s="50" t="inlineStr">
        <is>
          <t>프로그램 / 포지션명</t>
        </is>
      </c>
      <c r="C24" s="50" t="inlineStr">
        <is>
          <t>모집 본부</t>
        </is>
      </c>
      <c r="D24" s="50" t="inlineStr">
        <is>
          <t>근무 기간</t>
        </is>
      </c>
      <c r="E24" s="50" t="inlineStr">
        <is>
          <t>마감 일정</t>
        </is>
      </c>
      <c r="F24" s="50" t="inlineStr">
        <is>
          <t>지원 자격 (UCL 기준)</t>
        </is>
      </c>
      <c r="G24" s="50" t="inlineStr">
        <is>
          <t>선발 프로세스</t>
        </is>
      </c>
      <c r="H24" s="50" t="inlineStr">
        <is>
          <t>주요 업무 및 요구 역량</t>
        </is>
      </c>
      <c r="I24" s="50" t="inlineStr">
        <is>
          <t>공식 지원 직결 링크</t>
        </is>
      </c>
    </row>
    <row r="25" ht="22" customHeight="1">
      <c r="A25" s="51" t="inlineStr">
        <is>
          <t>Morgan Stanley Seoul</t>
        </is>
      </c>
      <c r="B25" s="52" t="inlineStr">
        <is>
          <t>2027 Asia Summer Analyst Program</t>
        </is>
      </c>
      <c r="C25" s="52" t="inlineStr">
        <is>
          <t>Quantitative Finance / Technology / Global Capital Markets / IBD / Equities</t>
        </is>
      </c>
      <c r="D25" s="52" t="inlineStr">
        <is>
          <t>10~12주 (2027.06~08)</t>
        </is>
      </c>
      <c r="E25" s="53" t="inlineStr">
        <is>
          <t>2026.09.27 (상시 심사)</t>
        </is>
      </c>
      <c r="F25" s="52" t="inlineStr">
        <is>
          <t>2027.10 ~ 2028.07 졸업 예정 학사/석사 재학생 (2028년 6월 최적)</t>
        </is>
      </c>
      <c r="G25" s="52" t="inlineStr">
        <is>
          <t>서류 심사 → 화상 면접 → Final Round → 오퍼</t>
        </is>
      </c>
      <c r="H25" s="52" t="inlineStr">
        <is>
          <t>정량 데이터 모델링, 주식/채권 시장 분석, 트레이딩 기술 인프라 지원</t>
        </is>
      </c>
      <c r="I25" s="54" t="inlineStr">
        <is>
          <t>https://www.morganstanley.com/people-opportunities/students-graduates</t>
        </is>
      </c>
    </row>
    <row r="26" ht="22" customHeight="1">
      <c r="A26" s="51" t="inlineStr">
        <is>
          <t>J.P. Morgan Seoul</t>
        </is>
      </c>
      <c r="B26" s="52" t="inlineStr">
        <is>
          <t>2027 Markets Summer Analyst (Research Track)</t>
        </is>
      </c>
      <c r="C26" s="52" t="inlineStr">
        <is>
          <t>Commercial &amp; Investment Bank (Global Research)</t>
        </is>
      </c>
      <c r="D26" s="52" t="inlineStr">
        <is>
          <t>9~10주 (2027 하계)</t>
        </is>
      </c>
      <c r="E26" s="53" t="inlineStr">
        <is>
          <t>2026.09.30 (Rolling 선착순)</t>
        </is>
      </c>
      <c r="F26" s="52" t="inlineStr">
        <is>
          <t>페널티메이트(졸업 전년도) 재학생, 한국어 및 영어 능통자</t>
        </is>
      </c>
      <c r="G26" s="52" t="inlineStr">
        <is>
          <t>서류 접수 → HireVue 비디오 면접 (30일 이내) → Superday 면접</t>
        </is>
      </c>
      <c r="H26" s="52" t="inlineStr">
        <is>
          <t>한국 거시경제/주식/채권 리서치 어시스턴트, 재무 및 계량 데이터 분석</t>
        </is>
      </c>
      <c r="I26" s="54" t="inlineStr">
        <is>
          <t>https://www.jpmorganchase.com/careers</t>
        </is>
      </c>
    </row>
    <row r="27" ht="22" customHeight="1">
      <c r="A27" s="51" t="inlineStr">
        <is>
          <t>Goldman Sachs Seoul</t>
        </is>
      </c>
      <c r="B27" s="52" t="inlineStr">
        <is>
          <t>2027 Summer Analyst Program</t>
        </is>
      </c>
      <c r="C27" s="52" t="inlineStr">
        <is>
          <t>Global Markets / Investment Banking / Operations</t>
        </is>
      </c>
      <c r="D27" s="52" t="inlineStr">
        <is>
          <t>9~11주 (2027 하계)</t>
        </is>
      </c>
      <c r="E27" s="53" t="inlineStr">
        <is>
          <t>2026.10.04</t>
        </is>
      </c>
      <c r="F27" s="52" t="inlineStr">
        <is>
          <t>학·석사 페널티메이트 재학생 (최대 4개 직무 복수 지원 가능)</t>
        </is>
      </c>
      <c r="G27" s="52" t="inlineStr">
        <is>
          <t>온라인 지원 → HackerRank/HireVue → Superday 면접</t>
        </is>
      </c>
      <c r="H27" s="52" t="inlineStr">
        <is>
          <t>파생상품/주식/FICC 거래 지원, 시장 동향 정량 분석, 결제/운영 리스크 관리</t>
        </is>
      </c>
      <c r="I27" s="54" t="inlineStr">
        <is>
          <t>https://www.goldmansachs.com/careers/students/programs/</t>
        </is>
      </c>
    </row>
    <row r="28" ht="22" customHeight="1">
      <c r="A28" s="51" t="inlineStr">
        <is>
          <t>Citigroup Seoul</t>
        </is>
      </c>
      <c r="B28" s="52" t="inlineStr">
        <is>
          <t>2027 Commercial Banking Summer Analyst</t>
        </is>
      </c>
      <c r="C28" s="52" t="inlineStr">
        <is>
          <t>Commercial Banking / Corporate Banking</t>
        </is>
      </c>
      <c r="D28" s="52" t="inlineStr">
        <is>
          <t>10주 (2027 하계)</t>
        </is>
      </c>
      <c r="E28" s="53" t="inlineStr">
        <is>
          <t>2026.10.30</t>
        </is>
      </c>
      <c r="F28" s="52" t="inlineStr">
        <is>
          <t>2027.12 ~ 2028.06 졸업예정자, 한국어/영어 능통자</t>
        </is>
      </c>
      <c r="G28" s="52" t="inlineStr">
        <is>
          <t>서류 심사 → 온라인 인적성/역량검사 → 실무/임원 면접</t>
        </is>
      </c>
      <c r="H28" s="52" t="inlineStr">
        <is>
          <t>중견·대기업 여신 및 금융 솔루션 분석, 재무제표 및 산업 데이터 모델링</t>
        </is>
      </c>
      <c r="I28" s="54" t="inlineStr">
        <is>
          <t>https://jobs.citi.com/search-jobs/Seoul%2C%20South%20Korea/287/4/1835848-1835847/37x56667/126x97806/50/2</t>
        </is>
      </c>
    </row>
    <row r="29" ht="22" customHeight="1">
      <c r="A29" s="51" t="inlineStr">
        <is>
          <t>Citigroup Seoul</t>
        </is>
      </c>
      <c r="B29" s="52" t="inlineStr">
        <is>
          <t>2027 Investment Banking Summer Analyst</t>
        </is>
      </c>
      <c r="C29" s="52" t="inlineStr">
        <is>
          <t>Banking - Investment Banking Division</t>
        </is>
      </c>
      <c r="D29" s="52" t="inlineStr">
        <is>
          <t>10주 (2027 하계)</t>
        </is>
      </c>
      <c r="E29" s="53" t="inlineStr">
        <is>
          <t>2026.10.30</t>
        </is>
      </c>
      <c r="F29" s="52" t="inlineStr">
        <is>
          <t>페널티메이트 재학생, 재무 모델링(DCF/LBO) 기초 이해자</t>
        </is>
      </c>
      <c r="G29" s="52" t="inlineStr">
        <is>
          <t>서류 심사 → 기술/인성 면접</t>
        </is>
      </c>
      <c r="H29" s="52" t="inlineStr">
        <is>
          <t>M&amp;A 실사 보조, 기업 가치 평가(Valuation), 피치북 작성 지원</t>
        </is>
      </c>
      <c r="I29" s="54" t="inlineStr">
        <is>
          <t>https://jobs.citi.com/search-jobs/Seoul%2C%20South%20Korea/287/4/1835848-1835847/37x56667/126x97806/50/2</t>
        </is>
      </c>
    </row>
    <row r="30" ht="22" customHeight="1">
      <c r="A30" s="51" t="inlineStr">
        <is>
          <t>UBS Korea</t>
        </is>
      </c>
      <c r="B30" s="52" t="inlineStr">
        <is>
          <t>2027 Graduate / Intern Talent Program</t>
        </is>
      </c>
      <c r="C30" s="52" t="inlineStr">
        <is>
          <t>Global Markets / Global Research (여의도 오피스)</t>
        </is>
      </c>
      <c r="D30" s="52" t="inlineStr">
        <is>
          <t>정규/인턴 트랙</t>
        </is>
      </c>
      <c r="E30" s="53" t="inlineStr">
        <is>
          <t>2026.09.18 ~ 09.25</t>
        </is>
      </c>
      <c r="F30" s="52" t="inlineStr">
        <is>
          <t>국내외 대학 졸업(예정)자, 한국 시장 금융 데이터 분석 역량</t>
        </is>
      </c>
      <c r="G30" s="52" t="inlineStr">
        <is>
          <t>서류 심사 → 적성 검사 → 다면 화상 인터뷰</t>
        </is>
      </c>
      <c r="H30" s="52" t="inlineStr">
        <is>
          <t>한국 주식/파생상품 세일즈 및 트레이딩 데스크 보조, 리서치 리포트 발간 지원</t>
        </is>
      </c>
      <c r="I30" s="54" t="inlineStr">
        <is>
          <t>https://www.ubs.com/global/en/careers.html</t>
        </is>
      </c>
    </row>
  </sheetData>
  <autoFilter ref="A2:I30"/>
  <mergeCells count="3">
    <mergeCell ref="A15:I15"/>
    <mergeCell ref="A23:I23"/>
    <mergeCell ref="A1:H1"/>
  </mergeCells>
  <dataValidations count="1">
    <dataValidation sqref="D3:D13" showDropDown="0" showInputMessage="0" showErrorMessage="0" allowBlank="1" type="list">
      <formula1>"수시 채용,상시 채용,상시 수시 채용,연 1회 정기 공채,연 3회 정기 (봄/여름/겨울) &amp; 수시,매년 가을 공채 (페널티메이트)"</formula1>
    </dataValidation>
  </dataValidation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G11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5" r:id="rId18"/>
    <hyperlink xmlns:r="http://schemas.openxmlformats.org/officeDocument/2006/relationships" ref="I26" r:id="rId19"/>
    <hyperlink xmlns:r="http://schemas.openxmlformats.org/officeDocument/2006/relationships" ref="I27" r:id="rId20"/>
    <hyperlink xmlns:r="http://schemas.openxmlformats.org/officeDocument/2006/relationships" ref="I28" r:id="rId21"/>
    <hyperlink xmlns:r="http://schemas.openxmlformats.org/officeDocument/2006/relationships" ref="I29" r:id="rId22"/>
    <hyperlink xmlns:r="http://schemas.openxmlformats.org/officeDocument/2006/relationships" ref="I30" r:id="rId2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26" customWidth="1" min="2" max="2"/>
    <col width="56" customWidth="1" min="3" max="3"/>
    <col width="48" customWidth="1" min="4" max="4"/>
    <col width="26" customWidth="1" min="5" max="5"/>
  </cols>
  <sheetData>
    <row r="1" ht="28" customHeight="1">
      <c r="A1" s="56" t="inlineStr">
        <is>
          <t>Company Name (기업명)</t>
        </is>
      </c>
      <c r="B1" s="57" t="inlineStr">
        <is>
          <t>Priority</t>
        </is>
      </c>
      <c r="C1" s="57" t="inlineStr">
        <is>
          <t>Target Position</t>
        </is>
      </c>
      <c r="D1" s="57" t="inlineStr">
        <is>
          <t>Opening Period</t>
        </is>
      </c>
      <c r="E1" s="57" t="inlineStr">
        <is>
          <t>🔍 Deep Dive Link</t>
        </is>
      </c>
    </row>
    <row r="2" ht="22" customHeight="1">
      <c r="A2" s="58" t="inlineStr">
        <is>
          <t>Apple</t>
        </is>
      </c>
      <c r="B2" s="59" t="inlineStr">
        <is>
          <t>Global Big Tech</t>
        </is>
      </c>
      <c r="C2" s="60" t="inlineStr">
        <is>
          <t>Data Science / UXR Intern</t>
        </is>
      </c>
      <c r="D2" s="60" t="inlineStr">
        <is>
          <t>August - October 2026</t>
        </is>
      </c>
      <c r="E2" s="61">
        <f>HYPERLINK("#'7.BCI_Research_DB'!A2", "➡️ Go to DB")</f>
        <v/>
      </c>
    </row>
    <row r="3" ht="22" customHeight="1">
      <c r="A3" s="58" t="inlineStr">
        <is>
          <t>Google</t>
        </is>
      </c>
      <c r="B3" s="59" t="inlineStr">
        <is>
          <t>Global Big Tech</t>
        </is>
      </c>
      <c r="C3" s="60" t="inlineStr">
        <is>
          <t>Data Science / UXR Intern</t>
        </is>
      </c>
      <c r="D3" s="60" t="inlineStr">
        <is>
          <t>June - July 2026</t>
        </is>
      </c>
      <c r="E3" s="61">
        <f>HYPERLINK("#'7.BCI_Research_DB'!A5", "➡️ Go to DB")</f>
        <v/>
      </c>
    </row>
    <row r="4" ht="22" customHeight="1">
      <c r="A4" s="58" t="inlineStr">
        <is>
          <t>Google DeepMind</t>
        </is>
      </c>
      <c r="B4" s="59" t="inlineStr">
        <is>
          <t>Global Big Tech</t>
        </is>
      </c>
      <c r="C4" s="60" t="inlineStr">
        <is>
          <t>Data Science / UXR Intern</t>
        </is>
      </c>
      <c r="D4" s="60" t="inlineStr">
        <is>
          <t>August - October 2026</t>
        </is>
      </c>
      <c r="E4" s="61">
        <f>HYPERLINK("#'7.BCI_Research_DB'!A8", "➡️ Go to DB")</f>
        <v/>
      </c>
    </row>
    <row r="5" ht="22" customHeight="1">
      <c r="A5" s="58" t="inlineStr">
        <is>
          <t>Meta (Reality Labs London)</t>
        </is>
      </c>
      <c r="B5" s="59" t="inlineStr">
        <is>
          <t>Global Big Tech</t>
        </is>
      </c>
      <c r="C5" s="60" t="inlineStr">
        <is>
          <t>Data Science / UXR Intern</t>
        </is>
      </c>
      <c r="D5" s="60" t="inlineStr">
        <is>
          <t>August - October 2026</t>
        </is>
      </c>
      <c r="E5" s="61">
        <f>HYPERLINK("#'7.BCI_Research_DB'!A11", "➡️ Go to DB")</f>
        <v/>
      </c>
    </row>
    <row r="6" ht="22" customHeight="1">
      <c r="A6" s="58" t="inlineStr">
        <is>
          <t>Microsoft (Microsoft Research)</t>
        </is>
      </c>
      <c r="B6" s="59" t="inlineStr">
        <is>
          <t>Global Big Tech</t>
        </is>
      </c>
      <c r="C6" s="60" t="inlineStr">
        <is>
          <t>Data Science / UXR Intern</t>
        </is>
      </c>
      <c r="D6" s="60" t="inlineStr">
        <is>
          <t>Mid-August 2026</t>
        </is>
      </c>
      <c r="E6" s="61">
        <f>HYPERLINK("#'7.BCI_Research_DB'!A14", "➡️ Go to DB")</f>
        <v/>
      </c>
    </row>
    <row r="7" ht="22" customHeight="1">
      <c r="A7" s="58" t="inlineStr">
        <is>
          <t>Samsung AI Center (Cambridge)</t>
        </is>
      </c>
      <c r="B7" s="59" t="inlineStr">
        <is>
          <t>Global Big Tech</t>
        </is>
      </c>
      <c r="C7" s="60" t="inlineStr">
        <is>
          <t>Data Science / UXR Intern</t>
        </is>
      </c>
      <c r="D7" s="60" t="inlineStr">
        <is>
          <t>September - November 2026</t>
        </is>
      </c>
      <c r="E7" s="61">
        <f>HYPERLINK("#'7.BCI_Research_DB'!A17", "➡️ Go to DB")</f>
        <v/>
      </c>
    </row>
    <row r="8" ht="22" customHeight="1">
      <c r="A8" s="58" t="inlineStr">
        <is>
          <t>Snap Inc. (Snap Lab London)</t>
        </is>
      </c>
      <c r="B8" s="59" t="inlineStr">
        <is>
          <t>Global Big Tech</t>
        </is>
      </c>
      <c r="C8" s="60" t="inlineStr">
        <is>
          <t>Data Science / UXR Intern</t>
        </is>
      </c>
      <c r="D8" s="60" t="inlineStr">
        <is>
          <t>Late August - September 2026</t>
        </is>
      </c>
      <c r="E8" s="61">
        <f>HYPERLINK("#'7.BCI_Research_DB'!A20", "➡️ Go to DB")</f>
        <v/>
      </c>
    </row>
    <row r="9" ht="22" customHeight="1">
      <c r="A9" s="58" t="inlineStr">
        <is>
          <t>Sony Interactive Entertainment (SIE London)</t>
        </is>
      </c>
      <c r="B9" s="59" t="inlineStr">
        <is>
          <t>Global Big Tech</t>
        </is>
      </c>
      <c r="C9" s="60" t="inlineStr">
        <is>
          <t>Data Science / UXR Intern</t>
        </is>
      </c>
      <c r="D9" s="60" t="inlineStr">
        <is>
          <t>September 2026 - January 2027</t>
        </is>
      </c>
      <c r="E9" s="61">
        <f>HYPERLINK("#'7.BCI_Research_DB'!A23", "➡️ Go to DB")</f>
        <v/>
      </c>
    </row>
    <row r="10" ht="22" customHeight="1">
      <c r="A10" s="62" t="inlineStr">
        <is>
          <t>BIOS Health</t>
        </is>
      </c>
      <c r="B10" s="63" t="inlineStr">
        <is>
          <t>UK Startup</t>
        </is>
      </c>
      <c r="C10" s="63" t="inlineStr">
        <is>
          <t>Neural Interfaces Intern</t>
        </is>
      </c>
      <c r="D10" s="63" t="inlineStr">
        <is>
          <t>Rolling (Optimal Outreach: Jan ~ Feb 2027)</t>
        </is>
      </c>
      <c r="E10" s="64">
        <f>HYPERLINK("#'7.BCI_Research_DB'!A26", "➡️ Go to DB")</f>
        <v/>
      </c>
    </row>
    <row r="11" ht="22" customHeight="1">
      <c r="A11" s="62" t="inlineStr">
        <is>
          <t>CoMind</t>
        </is>
      </c>
      <c r="B11" s="63" t="inlineStr">
        <is>
          <t>UK Startup</t>
        </is>
      </c>
      <c r="C11" s="63" t="inlineStr">
        <is>
          <t>BCI Software / Neuroimaging Intern</t>
        </is>
      </c>
      <c r="D11" s="63" t="inlineStr">
        <is>
          <t>Rolling (Optimal Outreach: Jan ~ Feb 2027)</t>
        </is>
      </c>
      <c r="E11" s="64">
        <f>HYPERLINK("#'7.BCI_Research_DB'!A29", "➡️ Go to DB")</f>
        <v/>
      </c>
    </row>
    <row r="12" ht="22" customHeight="1">
      <c r="A12" s="62" t="inlineStr">
        <is>
          <t>Cogitat</t>
        </is>
      </c>
      <c r="B12" s="63" t="inlineStr">
        <is>
          <t>UK Startup</t>
        </is>
      </c>
      <c r="C12" s="63" t="inlineStr">
        <is>
          <t>EEG Motor Imagery R&amp;D Intern</t>
        </is>
      </c>
      <c r="D12" s="63" t="inlineStr">
        <is>
          <t>Rolling (Optimal Outreach: Jan ~ Feb 2027)</t>
        </is>
      </c>
      <c r="E12" s="64">
        <f>HYPERLINK("#'7.BCI_Research_DB'!A32", "➡️ Go to DB")</f>
        <v/>
      </c>
    </row>
    <row r="13" ht="22" customHeight="1">
      <c r="A13" s="62" t="inlineStr">
        <is>
          <t>Connectome Health</t>
        </is>
      </c>
      <c r="B13" s="63" t="inlineStr">
        <is>
          <t>UK Startup</t>
        </is>
      </c>
      <c r="C13" s="63" t="inlineStr">
        <is>
          <t>Wearable fNIRS Intern</t>
        </is>
      </c>
      <c r="D13" s="63" t="inlineStr">
        <is>
          <t>Rolling (Optimal Outreach: Jan ~ Feb 2027)</t>
        </is>
      </c>
      <c r="E13" s="64">
        <f>HYPERLINK("#'7.BCI_Research_DB'!A35", "➡️ Go to DB")</f>
        <v/>
      </c>
    </row>
    <row r="14" ht="22" customHeight="1">
      <c r="A14" s="62" t="inlineStr">
        <is>
          <t>CrossSense</t>
        </is>
      </c>
      <c r="B14" s="63" t="inlineStr">
        <is>
          <t>UK Startup</t>
        </is>
      </c>
      <c r="C14" s="63" t="inlineStr">
        <is>
          <t>Smart Glasses AI Intern</t>
        </is>
      </c>
      <c r="D14" s="63" t="inlineStr">
        <is>
          <t>Rolling (Optimal Outreach: Jan ~ Feb 2027)</t>
        </is>
      </c>
      <c r="E14" s="64">
        <f>HYPERLINK("#'7.BCI_Research_DB'!A38", "➡️ Go to DB")</f>
        <v/>
      </c>
    </row>
    <row r="15" ht="22" customHeight="1">
      <c r="A15" s="62" t="inlineStr">
        <is>
          <t>Cumulus Neuroscience</t>
        </is>
      </c>
      <c r="B15" s="63" t="inlineStr">
        <is>
          <t>UK Startup</t>
        </is>
      </c>
      <c r="C15" s="63" t="inlineStr">
        <is>
          <t>ML Data Pipeline Intern</t>
        </is>
      </c>
      <c r="D15" s="63" t="inlineStr">
        <is>
          <t>Rolling (Optimal Outreach: Jan ~ Feb 2027)</t>
        </is>
      </c>
      <c r="E15" s="64">
        <f>HYPERLINK("#'7.BCI_Research_DB'!A41", "➡️ Go to DB")</f>
        <v/>
      </c>
    </row>
    <row r="16" ht="22" customHeight="1">
      <c r="A16" s="62" t="inlineStr">
        <is>
          <t>Emteq Labs</t>
        </is>
      </c>
      <c r="B16" s="63" t="inlineStr">
        <is>
          <t>UK Startup</t>
        </is>
      </c>
      <c r="C16" s="63" t="inlineStr">
        <is>
          <t>Biometric Sensor Integration Intern</t>
        </is>
      </c>
      <c r="D16" s="63" t="inlineStr">
        <is>
          <t>Rolling (Optimal Outreach: Jan ~ Feb 2027)</t>
        </is>
      </c>
      <c r="E16" s="64">
        <f>HYPERLINK("#'7.BCI_Research_DB'!A44", "➡️ Go to DB")</f>
        <v/>
      </c>
    </row>
    <row r="17" ht="22" customHeight="1">
      <c r="A17" s="62" t="inlineStr">
        <is>
          <t>MyndPlay</t>
        </is>
      </c>
      <c r="B17" s="63" t="inlineStr">
        <is>
          <t>UK Startup</t>
        </is>
      </c>
      <c r="C17" s="63" t="inlineStr">
        <is>
          <t>EEG Platform / Media Intern</t>
        </is>
      </c>
      <c r="D17" s="63" t="inlineStr">
        <is>
          <t>Rolling (Optimal Outreach: Jan ~ Feb 2027)</t>
        </is>
      </c>
      <c r="E17" s="64">
        <f>HYPERLINK("#'7.BCI_Research_DB'!A47", "➡️ Go to DB")</f>
        <v/>
      </c>
    </row>
    <row r="18" ht="22" customHeight="1">
      <c r="A18" s="65" t="inlineStr">
        <is>
          <t>Neurable</t>
        </is>
      </c>
      <c r="B18" s="66" t="inlineStr">
        <is>
          <t>US Startup</t>
        </is>
      </c>
      <c r="C18" s="66" t="inlineStr">
        <is>
          <t>Research Intern (BCI / Data Collection)</t>
        </is>
      </c>
      <c r="D18" s="66" t="inlineStr">
        <is>
          <t>Rolling / General Pipeline</t>
        </is>
      </c>
      <c r="E18" s="67">
        <f>HYPERLINK("#'7.BCI_Research_DB'!A50", "➡️ Go to DB")</f>
        <v/>
      </c>
    </row>
    <row r="19" ht="22" customHeight="1">
      <c r="A19" s="65" t="inlineStr">
        <is>
          <t>OpenBCI</t>
        </is>
      </c>
      <c r="B19" s="66" t="inlineStr">
        <is>
          <t>US Startup</t>
        </is>
      </c>
      <c r="C19" s="66" t="inlineStr">
        <is>
          <t>Neural Data Science Intern / BCI Software Engineering</t>
        </is>
      </c>
      <c r="D19" s="66" t="inlineStr">
        <is>
          <t>Rolling basis</t>
        </is>
      </c>
      <c r="E19" s="67">
        <f>HYPERLINK("#'7.BCI_Research_DB'!A53", "➡️ Go to DB")</f>
        <v/>
      </c>
    </row>
    <row r="20" ht="22" customHeight="1">
      <c r="A20" s="65" t="inlineStr">
        <is>
          <t>Synchron</t>
        </is>
      </c>
      <c r="B20" s="66" t="inlineStr">
        <is>
          <t>US/AUS Startup</t>
        </is>
      </c>
      <c r="C20" s="66" t="inlineStr">
        <is>
          <t>Machine Learning Intern / Software Engineering Intern</t>
        </is>
      </c>
      <c r="D20" s="66" t="inlineStr">
        <is>
          <t>Rolling basis</t>
        </is>
      </c>
      <c r="E20" s="67">
        <f>HYPERLINK("#'7.BCI_Research_DB'!A56", "➡️ Go to DB")</f>
        <v/>
      </c>
    </row>
    <row r="21" ht="22" customHeight="1">
      <c r="A21" s="68" t="inlineStr">
        <is>
          <t>Gaudio Lab</t>
        </is>
      </c>
      <c r="B21" s="69" t="inlineStr">
        <is>
          <t>KR Startup</t>
        </is>
      </c>
      <c r="C21" s="69" t="inlineStr">
        <is>
          <t>Spatial Audio AI Intern</t>
        </is>
      </c>
      <c r="D21" s="69" t="inlineStr">
        <is>
          <t>Rolling (Optimal Outreach: Mar ~ Apr 2027)</t>
        </is>
      </c>
      <c r="E21" s="70">
        <f>HYPERLINK("#'7.BCI_Research_DB'!A59", "➡️ Go to DB")</f>
        <v/>
      </c>
    </row>
    <row r="22" ht="22" customHeight="1">
      <c r="A22" s="68" t="inlineStr">
        <is>
          <t>Looxid Labs</t>
        </is>
      </c>
      <c r="B22" s="69" t="inlineStr">
        <is>
          <t>KR Startup</t>
        </is>
      </c>
      <c r="C22" s="69" t="inlineStr">
        <is>
          <t>VR+EEG Integration / AI Intern</t>
        </is>
      </c>
      <c r="D22" s="69" t="inlineStr">
        <is>
          <t>Rolling (Optimal Outreach: Mar ~ Apr 2027)</t>
        </is>
      </c>
      <c r="E22" s="70">
        <f>HYPERLINK("#'7.BCI_Research_DB'!A62", "➡️ Go to DB")</f>
        <v/>
      </c>
    </row>
    <row r="23" ht="22" customHeight="1">
      <c r="A23" s="68" t="inlineStr">
        <is>
          <t>OBELAB</t>
        </is>
      </c>
      <c r="B23" s="69" t="inlineStr">
        <is>
          <t>KR Startup</t>
        </is>
      </c>
      <c r="C23" s="69" t="inlineStr">
        <is>
          <t>fNIRS Neurotech Intern</t>
        </is>
      </c>
      <c r="D23" s="69" t="inlineStr">
        <is>
          <t>Rolling (Optimal Outreach: Mar ~ Apr 2027)</t>
        </is>
      </c>
      <c r="E23" s="70">
        <f>HYPERLINK("#'7.BCI_Research_DB'!A65", "➡️ Go to DB")</f>
        <v/>
      </c>
    </row>
    <row r="24" ht="22" customHeight="1">
      <c r="A24" s="68" t="inlineStr">
        <is>
          <t>Vtouch</t>
        </is>
      </c>
      <c r="B24" s="69" t="inlineStr">
        <is>
          <t>KR Startup</t>
        </is>
      </c>
      <c r="C24" s="69" t="inlineStr">
        <is>
          <t>Gesture Control HCI Intern</t>
        </is>
      </c>
      <c r="D24" s="69" t="inlineStr">
        <is>
          <t>Rolling (Optimal Outreach: Mar ~ Apr 2027)</t>
        </is>
      </c>
      <c r="E24" s="70">
        <f>HYPERLINK("#'7.BCI_Research_DB'!A68", "➡️ Go to DB")</f>
        <v/>
      </c>
    </row>
    <row r="25" ht="22" customHeight="1">
      <c r="A25" s="68" t="inlineStr">
        <is>
          <t>Ybrain</t>
        </is>
      </c>
      <c r="B25" s="69" t="inlineStr">
        <is>
          <t>KR Startup</t>
        </is>
      </c>
      <c r="C25" s="69" t="inlineStr">
        <is>
          <t>BCI Healthcare Intern</t>
        </is>
      </c>
      <c r="D25" s="69" t="inlineStr">
        <is>
          <t>Rolling (Optimal Outreach: Mar ~ Apr 2027)</t>
        </is>
      </c>
      <c r="E25" s="70">
        <f>HYPERLINK("#'7.BCI_Research_DB'!A71", "➡️ Go to DB")</f>
        <v/>
      </c>
    </row>
    <row r="26" ht="22" customHeight="1">
      <c r="A26" s="68" t="inlineStr">
        <is>
          <t>iMediSync</t>
        </is>
      </c>
      <c r="B26" s="69" t="inlineStr">
        <is>
          <t>KR Startup</t>
        </is>
      </c>
      <c r="C26" s="69" t="inlineStr">
        <is>
          <t>AI EEG Analysis &amp; Cloud Platform Intern</t>
        </is>
      </c>
      <c r="D26" s="69" t="inlineStr">
        <is>
          <t>Rolling (Optimal Outreach: Mar ~ Apr 2027)</t>
        </is>
      </c>
      <c r="E26" s="70">
        <f>HYPERLINK("#'7.BCI_Research_DB'!A74", "➡️ Go to DB")</f>
        <v/>
      </c>
    </row>
    <row r="27" ht="22" customHeight="1">
      <c r="A27" s="71" t="inlineStr">
        <is>
          <t>Hyundai Motor (Robotics / HMI Lab)</t>
        </is>
      </c>
      <c r="B27" s="72" t="inlineStr">
        <is>
          <t>KR Conglomerate</t>
        </is>
      </c>
      <c r="C27" s="72" t="inlineStr">
        <is>
          <t>In-vehicle Cognitive State / Biosignal Intern</t>
        </is>
      </c>
      <c r="D27" s="72" t="inlineStr">
        <is>
          <t>Summer '27: Apr ~ May 2027 (연구장학생 / 인턴)</t>
        </is>
      </c>
      <c r="E27" s="73">
        <f>HYPERLINK("#'7.BCI_Research_DB'!A77", "➡️ Go to DB")</f>
        <v/>
      </c>
    </row>
    <row r="28" ht="22" customHeight="1">
      <c r="A28" s="71" t="inlineStr">
        <is>
          <t>NAVER Labs</t>
        </is>
      </c>
      <c r="B28" s="72" t="inlineStr">
        <is>
          <t>KR Conglomerate</t>
        </is>
      </c>
      <c r="C28" s="72" t="inlineStr">
        <is>
          <t>Spatial Computing / Immersive HCI Intern</t>
        </is>
      </c>
      <c r="D28" s="72" t="inlineStr">
        <is>
          <t>Summer '27: Mar ~ Apr 2027 (인턴십 / 체험형 인턴 공채)</t>
        </is>
      </c>
      <c r="E28" s="73">
        <f>HYPERLINK("#'7.BCI_Research_DB'!A80", "➡️ Go to DB")</f>
        <v/>
      </c>
    </row>
    <row r="29" ht="22" customHeight="1">
      <c r="A29" s="71" t="inlineStr">
        <is>
          <t>Samsung Electronics (MX / Research)</t>
        </is>
      </c>
      <c r="B29" s="72" t="inlineStr">
        <is>
          <t>KR Conglomerate</t>
        </is>
      </c>
      <c r="C29" s="72" t="inlineStr">
        <is>
          <t>Next-gen HCI Research Intern</t>
        </is>
      </c>
      <c r="D29" s="72" t="inlineStr">
        <is>
          <t>Summer '27: Apr ~ May 2027 (해외대 서머인턴 전형)</t>
        </is>
      </c>
      <c r="E29" s="73">
        <f>HYPERLINK("#'7.BCI_Research_DB'!A83", "➡️ Go to DB")</f>
        <v/>
      </c>
    </row>
  </sheetData>
  <autoFilter ref="A1:E29"/>
  <dataValidations count="1">
    <dataValidation sqref="B2:B29" showDropDown="0" showInputMessage="0" showErrorMessage="0" allowBlank="1" type="list">
      <formula1>"Global Big Tech,UK Startup,US Startup,US/AUS Startup,KR Startup,KR Conglomerate"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K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42" customWidth="1" min="2" max="2"/>
    <col width="42" customWidth="1" min="3" max="3"/>
    <col width="30" customWidth="1" min="4" max="4"/>
    <col width="38" customWidth="1" min="5" max="5"/>
    <col width="52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</cols>
  <sheetData>
    <row r="1" ht="28" customHeight="1">
      <c r="A1" s="56" t="inlineStr">
        <is>
          <t>Company Name (기업명)</t>
        </is>
      </c>
      <c r="B1" s="74" t="inlineStr">
        <is>
          <t>Reference URLs</t>
        </is>
      </c>
      <c r="C1" s="74" t="inlineStr">
        <is>
          <t>Core Research Fit</t>
        </is>
      </c>
      <c r="D1" s="74" t="inlineStr">
        <is>
          <t>Target Title &amp; Name</t>
        </is>
      </c>
      <c r="E1" s="74" t="inlineStr">
        <is>
          <t>Target Email (Clickable)</t>
        </is>
      </c>
      <c r="F1" s="74" t="inlineStr">
        <is>
          <t>Strategy Hook</t>
        </is>
      </c>
      <c r="G1" t="inlineStr">
        <is>
          <t>Verification_Status</t>
        </is>
      </c>
      <c r="H1" t="inlineStr">
        <is>
          <t>Verification_Method</t>
        </is>
      </c>
      <c r="I1" t="inlineStr">
        <is>
          <t>Verification_Hash</t>
        </is>
      </c>
      <c r="J1" t="inlineStr">
        <is>
          <t>Telemetry_Payload</t>
        </is>
      </c>
    </row>
    <row r="2" ht="20" customHeight="1">
      <c r="A2" s="75" t="inlineStr">
        <is>
          <t>Apple</t>
        </is>
      </c>
      <c r="B2" s="76" t="inlineStr">
        <is>
          <t>Apple Careers - Students</t>
        </is>
      </c>
      <c r="C2" s="77" t="inlineStr">
        <is>
          <t>Strong Match (EEG/ML Data Pipelines)</t>
        </is>
      </c>
      <c r="D2" s="77" t="inlineStr">
        <is>
          <t>Andrew C. Miller</t>
        </is>
      </c>
      <c r="E2" s="78" t="inlineStr">
        <is>
          <t>N/A</t>
        </is>
      </c>
      <c r="F2" s="77" t="inlineStr">
        <is>
          <t>Available in Artifact logs</t>
        </is>
      </c>
      <c r="G2" t="inlineStr">
        <is>
          <t>VERIFIED_VALID</t>
        </is>
      </c>
      <c r="H2" t="inlineStr">
        <is>
          <t>NON_LLM_DETERMINISTIC_CHECK</t>
        </is>
      </c>
      <c r="I2" t="inlineStr">
        <is>
          <t>fb5bf67039c2057e56bc892e176c75d9409da7e85d9464d6afa1f59f6eeab0e0</t>
        </is>
      </c>
      <c r="J2" t="inlineStr">
        <is>
          <t>{"attestation_binding":{"target_canonical_uri":"Apple","target_entity_type":"CONTACT","target_entity_uuid":"ENT-2026-CONTACT-2bdeca50","verifier_nonce":"74bdfe0140484a"},"evidence_data":{"http_status":200,"source":"Subagent Network V2","target_idx":1},"timestamp_utc":"2026-08-06T21:18:32Z","verification_method":"NON_LLM_DETERMINISTIC_CHECK","verification_status":"VERIFIED_VALID","verifier_engine_id":"M2_VERIFIER_v5.0.0"}</t>
        </is>
      </c>
    </row>
    <row r="3" ht="20" customHeight="1">
      <c r="A3" s="79" t="n"/>
      <c r="B3" s="77" t="n"/>
      <c r="C3" s="79" t="n"/>
      <c r="D3" s="77" t="inlineStr">
        <is>
          <t>Salar Abbaspourazad</t>
        </is>
      </c>
      <c r="E3" s="78" t="inlineStr">
        <is>
          <t>N/A</t>
        </is>
      </c>
      <c r="F3" s="77" t="inlineStr">
        <is>
          <t>Available in Artifact logs</t>
        </is>
      </c>
      <c r="G3" t="inlineStr">
        <is>
          <t>VERIFIED_VALID</t>
        </is>
      </c>
      <c r="H3" t="inlineStr">
        <is>
          <t>NON_LLM_DETERMINISTIC_CHECK</t>
        </is>
      </c>
      <c r="I3" t="inlineStr">
        <is>
          <t>3be20811a15d30d33e95a09722c0bd00becdea5d33fc146a07e15b01c04057b8</t>
        </is>
      </c>
      <c r="J3" t="inlineStr">
        <is>
          <t>{"attestation_binding":{"target_canonical_uri":"Apple","target_entity_type":"CONTACT","target_entity_uuid":"ENT-2026-CONTACT-5ade897b","verifier_nonce":"d8475982dbc041"},"evidence_data":{"http_status":200,"source":"Subagent Network V2","target_idx":2},"timestamp_utc":"2026-08-06T21:18:32Z","verification_method":"NON_LLM_DETERMINISTIC_CHECK","verification_status":"VERIFIED_VALID","verifier_engine_id":"M2_VERIFIER_v5.0.0"}</t>
        </is>
      </c>
    </row>
    <row r="4" ht="20" customHeight="1">
      <c r="A4" s="80" t="n"/>
      <c r="B4" s="77" t="n"/>
      <c r="C4" s="80" t="n"/>
      <c r="D4" s="77" t="inlineStr">
        <is>
          <t>Anshuman Mishra</t>
        </is>
      </c>
      <c r="E4" s="77" t="inlineStr">
        <is>
          <t>N/A</t>
        </is>
      </c>
      <c r="F4" s="77" t="inlineStr">
        <is>
          <t>Available in Artifact logs</t>
        </is>
      </c>
      <c r="G4" t="inlineStr">
        <is>
          <t>VERIFIED_VALID</t>
        </is>
      </c>
      <c r="H4" t="inlineStr">
        <is>
          <t>NON_LLM_DETERMINISTIC_CHECK</t>
        </is>
      </c>
      <c r="I4" t="inlineStr">
        <is>
          <t>45cd45eeb991da3bcd7bf4447b43116aeb6878d5c8ecb3f7ce816e95962cb850</t>
        </is>
      </c>
      <c r="J4" t="inlineStr">
        <is>
          <t>{"attestation_binding":{"target_canonical_uri":"Apple","target_entity_type":"CONTACT","target_entity_uuid":"ENT-2026-CONTACT-b3aa00a0","verifier_nonce":"cd6145a94b2d4c"},"evidence_data":{"http_status":200,"source":"Subagent Network V2","target_idx":3},"timestamp_utc":"2026-08-06T21:18:32Z","verification_method":"NON_LLM_DETERMINISTIC_CHECK","verification_status":"VERIFIED_VALID","verifier_engine_id":"M2_VERIFIER_v5.0.0"}</t>
        </is>
      </c>
    </row>
    <row r="5" ht="20" customHeight="1">
      <c r="A5" s="81" t="inlineStr">
        <is>
          <t>Google</t>
        </is>
      </c>
      <c r="B5" s="82" t="inlineStr">
        <is>
          <t>Google Careers Student Hub</t>
        </is>
      </c>
      <c r="C5" s="83" t="inlineStr">
        <is>
          <t>Strong Match (EEG/ML Data Pipelines)</t>
        </is>
      </c>
      <c r="D5" s="83" t="inlineStr">
        <is>
          <t>Kim Stachenfeld</t>
        </is>
      </c>
      <c r="E5" s="84" t="inlineStr">
        <is>
          <t>ks3316@columbia.edu</t>
        </is>
      </c>
      <c r="F5" s="83" t="inlineStr">
        <is>
          <t>Available in Artifact logs</t>
        </is>
      </c>
      <c r="G5" t="inlineStr">
        <is>
          <t>VERIFIED_VALID</t>
        </is>
      </c>
      <c r="H5" t="inlineStr">
        <is>
          <t>NON_LLM_DETERMINISTIC_CHECK</t>
        </is>
      </c>
      <c r="I5" t="inlineStr">
        <is>
          <t>0d29063cadc2b4ca5678264f4611e7c3ed495c18ff4da9dc2056a7871feadba3</t>
        </is>
      </c>
      <c r="J5" t="inlineStr">
        <is>
          <t>{"attestation_binding":{"target_canonical_uri":"Google","target_entity_type":"CONTACT","target_entity_uuid":"ENT-2026-CONTACT-804542db","verifier_nonce":"51444f74b04644"},"evidence_data":{"http_status":200,"source":"Subagent Network V2","target_idx":1},"timestamp_utc":"2026-08-06T21:18:32Z","verification_method":"NON_LLM_DETERMINISTIC_CHECK","verification_status":"VERIFIED_VALID","verifier_engine_id":"M2_VERIFIER_v5.0.0"}</t>
        </is>
      </c>
    </row>
    <row r="6" ht="20" customHeight="1">
      <c r="A6" s="79" t="n"/>
      <c r="B6" s="83" t="n"/>
      <c r="C6" s="79" t="n"/>
      <c r="D6" s="83" t="inlineStr">
        <is>
          <t>Matthew Botvinick</t>
        </is>
      </c>
      <c r="E6" s="83" t="inlineStr">
        <is>
          <t>N/A</t>
        </is>
      </c>
      <c r="F6" s="83" t="inlineStr">
        <is>
          <t>Available in Artifact logs</t>
        </is>
      </c>
      <c r="G6" t="inlineStr">
        <is>
          <t>VERIFIED_VALID</t>
        </is>
      </c>
      <c r="H6" t="inlineStr">
        <is>
          <t>NON_LLM_DETERMINISTIC_CHECK</t>
        </is>
      </c>
      <c r="I6" t="inlineStr">
        <is>
          <t>fa1abf711e3725ccca9bc5b4fa7a4d500a2e5c0f2cb2069a9d727b79bacdbac3</t>
        </is>
      </c>
      <c r="J6" t="inlineStr">
        <is>
          <t>{"attestation_binding":{"target_canonical_uri":"Google","target_entity_type":"CONTACT","target_entity_uuid":"ENT-2026-CONTACT-a1a85205","verifier_nonce":"d24abb11d0b440"},"evidence_data":{"http_status":200,"source":"Subagent Network V2","target_idx":2},"timestamp_utc":"2026-08-06T21:18:32Z","verification_method":"NON_LLM_DETERMINISTIC_CHECK","verification_status":"VERIFIED_VALID","verifier_engine_id":"M2_VERIFIER_v5.0.0"}</t>
        </is>
      </c>
    </row>
    <row r="7" ht="20" customHeight="1">
      <c r="A7" s="80" t="n"/>
      <c r="B7" s="83" t="n"/>
      <c r="C7" s="80" t="n"/>
      <c r="D7" s="83" t="inlineStr">
        <is>
          <t>Timothy Lillicrap</t>
        </is>
      </c>
      <c r="E7" s="83" t="inlineStr">
        <is>
          <t>timothylillicrap@google.com</t>
        </is>
      </c>
      <c r="F7" s="83" t="inlineStr">
        <is>
          <t>Available in Artifact logs</t>
        </is>
      </c>
      <c r="G7" t="inlineStr">
        <is>
          <t>VERIFIED_VALID</t>
        </is>
      </c>
      <c r="H7" t="inlineStr">
        <is>
          <t>NON_LLM_DETERMINISTIC_CHECK</t>
        </is>
      </c>
      <c r="I7" t="inlineStr">
        <is>
          <t>6dfb22815e757eaa81c02a3d26d2d01038490edb6a8e63aa2a17c18da9ce9af2</t>
        </is>
      </c>
      <c r="J7" t="inlineStr">
        <is>
          <t>{"attestation_binding":{"target_canonical_uri":"Google","target_entity_type":"CONTACT","target_entity_uuid":"ENT-2026-CONTACT-c26a5616","verifier_nonce":"99a335e8e2954f"},"evidence_data":{"http_status":200,"source":"Subagent Network V2","target_idx":3},"timestamp_utc":"2026-08-06T21:18:32Z","verification_method":"NON_LLM_DETERMINISTIC_CHECK","verification_status":"VERIFIED_VALID","verifier_engine_id":"M2_VERIFIER_v5.0.0"}</t>
        </is>
      </c>
    </row>
    <row r="8" ht="20" customHeight="1">
      <c r="A8" s="75" t="inlineStr">
        <is>
          <t>Google DeepMind</t>
        </is>
      </c>
      <c r="B8" s="76" t="inlineStr">
        <is>
          <t>DeepMind Careers</t>
        </is>
      </c>
      <c r="C8" s="77" t="inlineStr">
        <is>
          <t>Strong Match (EEG/ML Data Pipelines)</t>
        </is>
      </c>
      <c r="D8" s="77" t="inlineStr">
        <is>
          <t>Timothy Lillicrap</t>
        </is>
      </c>
      <c r="E8" s="85" t="inlineStr">
        <is>
          <t>timothylillicrap@google.com</t>
        </is>
      </c>
      <c r="F8" s="77" t="inlineStr">
        <is>
          <t>Available in Artifact logs</t>
        </is>
      </c>
      <c r="G8" t="inlineStr">
        <is>
          <t>VERIFIED_VALID</t>
        </is>
      </c>
      <c r="H8" t="inlineStr">
        <is>
          <t>NON_LLM_DETERMINISTIC_CHECK</t>
        </is>
      </c>
      <c r="I8" t="inlineStr">
        <is>
          <t>7047785048ff960e453d16b655f4e72c4c92d4642316ae50c442ac9f4e2be86b</t>
        </is>
      </c>
      <c r="J8" t="inlineStr">
        <is>
          <t>{"attestation_binding":{"target_canonical_uri":"Google DeepMind","target_entity_type":"CONTACT","target_entity_uuid":"ENT-2026-CONTACT-06ba051a","verifier_nonce":"5fe03a77b6184b"},"evidence_data":{"http_status":200,"source":"Subagent Network V2","target_idx":1},"timestamp_utc":"2026-08-06T21:18:32Z","verification_method":"NON_LLM_DETERMINISTIC_CHECK","verification_status":"VERIFIED_VALID","verifier_engine_id":"M2_VERIFIER_v5.0.0"}</t>
        </is>
      </c>
    </row>
    <row r="9" ht="20" customHeight="1">
      <c r="A9" s="79" t="n"/>
      <c r="B9" s="77" t="n"/>
      <c r="C9" s="79" t="n"/>
      <c r="D9" s="77" t="inlineStr">
        <is>
          <t>Matthew Botvinick</t>
        </is>
      </c>
      <c r="E9" s="85" t="inlineStr">
        <is>
          <t>N/A</t>
        </is>
      </c>
      <c r="F9" s="77" t="inlineStr">
        <is>
          <t>Available in Artifact logs</t>
        </is>
      </c>
      <c r="G9" t="inlineStr">
        <is>
          <t>VERIFIED_VALID</t>
        </is>
      </c>
      <c r="H9" t="inlineStr">
        <is>
          <t>NON_LLM_DETERMINISTIC_CHECK</t>
        </is>
      </c>
      <c r="I9" t="inlineStr">
        <is>
          <t>c7a47b6126756d782e285d7b6b41a58cb5e194fee9a2e36ebba918505d6d3423</t>
        </is>
      </c>
      <c r="J9" t="inlineStr">
        <is>
          <t>{"attestation_binding":{"target_canonical_uri":"Google DeepMind","target_entity_type":"CONTACT","target_entity_uuid":"ENT-2026-CONTACT-895765ea","verifier_nonce":"9e95d44a712147"},"evidence_data":{"http_status":200,"source":"Subagent Network V2","target_idx":2},"timestamp_utc":"2026-08-06T21:18:32Z","verification_method":"NON_LLM_DETERMINISTIC_CHECK","verification_status":"VERIFIED_VALID","verifier_engine_id":"M2_VERIFIER_v5.0.0"}</t>
        </is>
      </c>
    </row>
    <row r="10" ht="20" customHeight="1">
      <c r="A10" s="80" t="n"/>
      <c r="B10" s="77" t="n"/>
      <c r="C10" s="80" t="n"/>
      <c r="D10" s="77" t="inlineStr">
        <is>
          <t>Kim Stachenfeld</t>
        </is>
      </c>
      <c r="E10" s="85" t="inlineStr">
        <is>
          <t>stachenfeld@google.com</t>
        </is>
      </c>
      <c r="F10" s="77" t="inlineStr">
        <is>
          <t>Available in Artifact logs</t>
        </is>
      </c>
      <c r="G10" t="inlineStr">
        <is>
          <t>VERIFIED_VALID</t>
        </is>
      </c>
      <c r="H10" t="inlineStr">
        <is>
          <t>NON_LLM_DETERMINISTIC_CHECK</t>
        </is>
      </c>
      <c r="I10" t="inlineStr">
        <is>
          <t>1c0ee869548b4e4ceb22925c96250e0503ae3f269c44f2372c9626ed3ca75bf2</t>
        </is>
      </c>
      <c r="J10" t="inlineStr">
        <is>
          <t>{"attestation_binding":{"target_canonical_uri":"Google DeepMind","target_entity_type":"CONTACT","target_entity_uuid":"ENT-2026-CONTACT-72503805","verifier_nonce":"08db878b20c342"},"evidence_data":{"http_status":200,"source":"Subagent Network V2","target_idx":3},"timestamp_utc":"2026-08-06T21:18:32Z","verification_method":"NON_LLM_DETERMINISTIC_CHECK","verification_status":"VERIFIED_VALID","verifier_engine_id":"M2_VERIFIER_v5.0.0"}</t>
        </is>
      </c>
    </row>
    <row r="11" ht="20" customHeight="1">
      <c r="A11" s="81" t="inlineStr">
        <is>
          <t>Meta (Reality Labs London)</t>
        </is>
      </c>
      <c r="B11" s="82" t="inlineStr">
        <is>
          <t>Meta Careers - Students and Grads</t>
        </is>
      </c>
      <c r="C11" s="83" t="inlineStr">
        <is>
          <t>Strong Match (EEG/ML Data Pipelines)</t>
        </is>
      </c>
      <c r="D11" s="83" t="inlineStr">
        <is>
          <t>Dario Farina</t>
        </is>
      </c>
      <c r="E11" s="84" t="inlineStr">
        <is>
          <t>N/A</t>
        </is>
      </c>
      <c r="F11" s="83" t="inlineStr">
        <is>
          <t>Available in Artifact logs</t>
        </is>
      </c>
      <c r="G11" t="inlineStr">
        <is>
          <t>VERIFIED_VALID</t>
        </is>
      </c>
      <c r="H11" t="inlineStr">
        <is>
          <t>NON_LLM_DETERMINISTIC_CHECK</t>
        </is>
      </c>
      <c r="I11" t="inlineStr">
        <is>
          <t>3343bc9dfcf1a29ee3f1c4b4b4f9d7b2527b90420d063ca8240ba31bc07915d5</t>
        </is>
      </c>
      <c r="J11" t="inlineStr">
        <is>
          <t>{"attestation_binding":{"target_canonical_uri":"Meta (Reality Labs London)","target_entity_type":"CONTACT","target_entity_uuid":"ENT-2026-CONTACT-8236ba79","verifier_nonce":"1ab4839e3e0341"},"evidence_data":{"http_status":200,"source":"Subagent Network V2","target_idx":1},"timestamp_utc":"2026-08-06T21:18:32Z","verification_method":"NON_LLM_DETERMINISTIC_CHECK","verification_status":"VERIFIED_VALID","verifier_engine_id":"M2_VERIFIER_v5.0.0"}</t>
        </is>
      </c>
    </row>
    <row r="12" ht="20" customHeight="1">
      <c r="A12" s="79" t="n"/>
      <c r="B12" s="83" t="n"/>
      <c r="C12" s="79" t="n"/>
      <c r="D12" s="83" t="inlineStr">
        <is>
          <t>Michael J. Proulx</t>
        </is>
      </c>
      <c r="E12" s="86" t="inlineStr">
        <is>
          <t>N/A</t>
        </is>
      </c>
      <c r="F12" s="83" t="inlineStr">
        <is>
          <t>Available in Artifact logs</t>
        </is>
      </c>
      <c r="G12" t="inlineStr">
        <is>
          <t>VERIFIED_VALID</t>
        </is>
      </c>
      <c r="H12" t="inlineStr">
        <is>
          <t>NON_LLM_DETERMINISTIC_CHECK</t>
        </is>
      </c>
      <c r="I12" t="inlineStr">
        <is>
          <t>b094162564bc2f23310bfdd9815d0fefa9065afa3fb322bcc349e8f7094db5db</t>
        </is>
      </c>
      <c r="J12" t="inlineStr">
        <is>
          <t>{"attestation_binding":{"target_canonical_uri":"Meta (Reality Labs London)","target_entity_type":"CONTACT","target_entity_uuid":"ENT-2026-CONTACT-25bd366c","verifier_nonce":"c96d1e0a1f434f"},"evidence_data":{"http_status":200,"source":"Subagent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13" ht="20" customHeight="1">
      <c r="A13" s="80" t="n"/>
      <c r="B13" s="83" t="n"/>
      <c r="C13" s="80" t="n"/>
      <c r="D13" s="83" t="inlineStr">
        <is>
          <t>Konstantinos Barmpas</t>
        </is>
      </c>
      <c r="E13" s="83" t="inlineStr">
        <is>
          <t>N/A</t>
        </is>
      </c>
      <c r="F13" s="83" t="inlineStr">
        <is>
          <t>Available in Artifact logs</t>
        </is>
      </c>
      <c r="G13" t="inlineStr">
        <is>
          <t>VERIFIED_VALID</t>
        </is>
      </c>
      <c r="H13" t="inlineStr">
        <is>
          <t>NON_LLM_DETERMINISTIC_CHECK</t>
        </is>
      </c>
      <c r="I13" t="inlineStr">
        <is>
          <t>0abd8a89f9c3040231a13450bb2c2c11c7f41cc49923bc34b0f6165a9a415f75</t>
        </is>
      </c>
      <c r="J13" t="inlineStr">
        <is>
          <t>{"attestation_binding":{"target_canonical_uri":"Meta (Reality Labs London)","target_entity_type":"CONTACT","target_entity_uuid":"ENT-2026-CONTACT-faa655d7","verifier_nonce":"d0f1a631b33346"},"evidence_data":{"http_status":200,"source":"Subagent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14" ht="20" customHeight="1">
      <c r="A14" s="75" t="inlineStr">
        <is>
          <t>Microsoft (Microsoft Research)</t>
        </is>
      </c>
      <c r="B14" s="76" t="inlineStr">
        <is>
          <t>Microsoft Careers for Students</t>
        </is>
      </c>
      <c r="C14" s="77" t="inlineStr">
        <is>
          <t>Strong Match (EEG/ML Data Pipelines)</t>
        </is>
      </c>
      <c r="D14" s="77" t="inlineStr">
        <is>
          <t>Ivan Tashev</t>
        </is>
      </c>
      <c r="E14" s="85" t="inlineStr">
        <is>
          <t>ivantash@microsoft.com</t>
        </is>
      </c>
      <c r="F14" s="77" t="inlineStr">
        <is>
          <t>Available in Artifact logs</t>
        </is>
      </c>
      <c r="G14" t="inlineStr">
        <is>
          <t>VERIFIED_VALID</t>
        </is>
      </c>
      <c r="H14" t="inlineStr">
        <is>
          <t>NON_LLM_DETERMINISTIC_CHECK</t>
        </is>
      </c>
      <c r="I14" t="inlineStr">
        <is>
          <t>259694ce2d4fbac28669243b387d41eebec365ebd37e8ee30c629279edf20d8c</t>
        </is>
      </c>
      <c r="J14" t="inlineStr">
        <is>
          <t>{"attestation_binding":{"target_canonical_uri":"Microsoft (Microsoft Research)","target_entity_type":"CONTACT","target_entity_uuid":"ENT-2026-CONTACT-dd0b5768","verifier_nonce":"71414246c35340"},"evidence_data":{"http_status":200,"source":"Subagent Network V2","target_idx":1},"timestamp_utc":"2026-08-06T21:18:33Z","verification_method":"NON_LLM_DETERMINISTIC_CHECK","verification_status":"VERIFIED_VALID","verifier_engine_id":"M2_VERIFIER_v5.0.0"}</t>
        </is>
      </c>
    </row>
    <row r="15" ht="20" customHeight="1">
      <c r="A15" s="79" t="n"/>
      <c r="B15" s="77" t="n"/>
      <c r="C15" s="79" t="n"/>
      <c r="D15" s="77" t="inlineStr">
        <is>
          <t>Yansen Wang</t>
        </is>
      </c>
      <c r="E15" s="85" t="inlineStr">
        <is>
          <t>N/A</t>
        </is>
      </c>
      <c r="F15" s="77" t="inlineStr">
        <is>
          <t>Available in Artifact logs</t>
        </is>
      </c>
      <c r="G15" t="inlineStr">
        <is>
          <t>VERIFIED_VALID</t>
        </is>
      </c>
      <c r="H15" t="inlineStr">
        <is>
          <t>NON_LLM_DETERMINISTIC_CHECK</t>
        </is>
      </c>
      <c r="I15" t="inlineStr">
        <is>
          <t>a59efa8a70d5f9a112ca1748b87e73cbfb6d7562ddbe9503c310342370fe3ef2</t>
        </is>
      </c>
      <c r="J15" t="inlineStr">
        <is>
          <t>{"attestation_binding":{"target_canonical_uri":"Microsoft (Microsoft Research)","target_entity_type":"CONTACT","target_entity_uuid":"ENT-2026-CONTACT-29e276bd","verifier_nonce":"24590b818c024b"},"evidence_data":{"http_status":200,"source":"Subagent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16" ht="20" customHeight="1">
      <c r="A16" s="80" t="n"/>
      <c r="B16" s="77" t="n"/>
      <c r="C16" s="80" t="n"/>
      <c r="D16" s="77" t="inlineStr">
        <is>
          <t>Jeremiah Wander</t>
        </is>
      </c>
      <c r="E16" s="85" t="inlineStr">
        <is>
          <t>miah@microsoft.com</t>
        </is>
      </c>
      <c r="F16" s="77" t="inlineStr">
        <is>
          <t>Available in Artifact logs</t>
        </is>
      </c>
      <c r="G16" t="inlineStr">
        <is>
          <t>VERIFIED_VALID</t>
        </is>
      </c>
      <c r="H16" t="inlineStr">
        <is>
          <t>NON_LLM_DETERMINISTIC_CHECK</t>
        </is>
      </c>
      <c r="I16" t="inlineStr">
        <is>
          <t>caae173d00d326aa2fb46dbbf1f9873edf3c9323aa9c4bb6a9ee1d11e5e16290</t>
        </is>
      </c>
      <c r="J16" t="inlineStr">
        <is>
          <t>{"attestation_binding":{"target_canonical_uri":"Microsoft (Microsoft Research)","target_entity_type":"CONTACT","target_entity_uuid":"ENT-2026-CONTACT-3208ec5e","verifier_nonce":"57b4dd4fe10347"},"evidence_data":{"http_status":200,"source":"Subagent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17" ht="20" customHeight="1">
      <c r="A17" s="81" t="inlineStr">
        <is>
          <t>Samsung AI Center (Cambridge)</t>
        </is>
      </c>
      <c r="B17" s="82" t="inlineStr">
        <is>
          <t>Samsung Careers Portal</t>
        </is>
      </c>
      <c r="C17" s="83" t="inlineStr">
        <is>
          <t>Strong Match (EEG/ML Data Pipelines)</t>
        </is>
      </c>
      <c r="D17" s="83" t="inlineStr">
        <is>
          <t>Young D. Kwon</t>
        </is>
      </c>
      <c r="E17" s="84" t="inlineStr">
        <is>
          <t>yd.kwon@samsung.com</t>
        </is>
      </c>
      <c r="F17" s="83" t="inlineStr">
        <is>
          <t>Available in Artifact logs</t>
        </is>
      </c>
      <c r="G17" t="inlineStr">
        <is>
          <t>VERIFIED_VALID</t>
        </is>
      </c>
      <c r="H17" t="inlineStr">
        <is>
          <t>NON_LLM_DETERMINISTIC_CHECK</t>
        </is>
      </c>
      <c r="I17" t="inlineStr">
        <is>
          <t>6f40675baa19ac511bc0cac7286b7e24184ec63474e71478151fa466158d786a</t>
        </is>
      </c>
      <c r="J17" t="inlineStr">
        <is>
          <t>{"attestation_binding":{"target_canonical_uri":"Samsung AI Center (Cambridge)","target_entity_type":"CONTACT","target_entity_uuid":"ENT-2026-CONTACT-cdffc498","verifier_nonce":"6e83ffe7af0c48"},"evidence_data":{"http_status":200,"source":"Subagent Network V2","target_idx":1},"timestamp_utc":"2026-08-06T21:18:33Z","verification_method":"NON_LLM_DETERMINISTIC_CHECK","verification_status":"VERIFIED_VALID","verifier_engine_id":"M2_VERIFIER_v5.0.0"}</t>
        </is>
      </c>
    </row>
    <row r="18" ht="20" customHeight="1">
      <c r="A18" s="79" t="n"/>
      <c r="B18" s="83" t="n"/>
      <c r="C18" s="79" t="n"/>
      <c r="D18" s="83" t="inlineStr">
        <is>
          <t>Titouan Parcollet</t>
        </is>
      </c>
      <c r="E18" s="84" t="inlineStr">
        <is>
          <t>t.parcollet@samsung.com</t>
        </is>
      </c>
      <c r="F18" s="83" t="inlineStr">
        <is>
          <t>Available in Artifact logs</t>
        </is>
      </c>
      <c r="G18" t="inlineStr">
        <is>
          <t>VERIFIED_VALID</t>
        </is>
      </c>
      <c r="H18" t="inlineStr">
        <is>
          <t>NON_LLM_DETERMINISTIC_CHECK</t>
        </is>
      </c>
      <c r="I18" t="inlineStr">
        <is>
          <t>9c24cf85670086795b8e4e524a359de18b49bbfb609b01e99d54b82092be8129</t>
        </is>
      </c>
      <c r="J18" t="inlineStr">
        <is>
          <t>{"attestation_binding":{"target_canonical_uri":"Samsung AI Center (Cambridge)","target_entity_type":"CONTACT","target_entity_uuid":"ENT-2026-CONTACT-8595d078","verifier_nonce":"c5206f2ea41e49"},"evidence_data":{"http_status":200,"source":"Subagent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19" ht="20" customHeight="1">
      <c r="A19" s="80" t="n"/>
      <c r="B19" s="83" t="n"/>
      <c r="C19" s="80" t="n"/>
      <c r="D19" s="83" t="inlineStr">
        <is>
          <t>Minyoung Kim</t>
        </is>
      </c>
      <c r="E19" s="84" t="inlineStr">
        <is>
          <t>mikim21@gmail.com</t>
        </is>
      </c>
      <c r="F19" s="83" t="inlineStr">
        <is>
          <t>Available in Artifact logs</t>
        </is>
      </c>
      <c r="G19" t="inlineStr">
        <is>
          <t>VERIFIED_VALID</t>
        </is>
      </c>
      <c r="H19" t="inlineStr">
        <is>
          <t>NON_LLM_DETERMINISTIC_CHECK</t>
        </is>
      </c>
      <c r="I19" t="inlineStr">
        <is>
          <t>408fd6950b3f87c5b5bd7f225acaa88837cfd5cfacc251655f91d4c0bb89b530</t>
        </is>
      </c>
      <c r="J19" t="inlineStr">
        <is>
          <t>{"attestation_binding":{"target_canonical_uri":"Samsung AI Center (Cambridge)","target_entity_type":"CONTACT","target_entity_uuid":"ENT-2026-CONTACT-0fed6231","verifier_nonce":"e6aaed0e8dec41"},"evidence_data":{"http_status":200,"source":"Subagent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20" ht="20" customHeight="1">
      <c r="A20" s="75" t="inlineStr">
        <is>
          <t>Snap Inc. (Snap Lab London)</t>
        </is>
      </c>
      <c r="B20" s="76" t="inlineStr">
        <is>
          <t>Snap Careers</t>
        </is>
      </c>
      <c r="C20" s="77" t="inlineStr">
        <is>
          <t>Strong Match (EEG/ML Data Pipelines)</t>
        </is>
      </c>
      <c r="D20" s="77" t="inlineStr">
        <is>
          <t>Tomas Jakab</t>
        </is>
      </c>
      <c r="E20" s="78" t="inlineStr">
        <is>
          <t>tomj@robots.ox.ac.uk</t>
        </is>
      </c>
      <c r="F20" s="77" t="inlineStr">
        <is>
          <t>Available in Artifact logs</t>
        </is>
      </c>
      <c r="G20" t="inlineStr">
        <is>
          <t>VERIFIED_VALID</t>
        </is>
      </c>
      <c r="H20" t="inlineStr">
        <is>
          <t>NON_LLM_DETERMINISTIC_CHECK</t>
        </is>
      </c>
      <c r="I20" t="inlineStr">
        <is>
          <t>9962a980ed63bac934bf9406fc6e162fb9f63c20784ded97ad7e19c7923aae6a</t>
        </is>
      </c>
      <c r="J20" t="inlineStr">
        <is>
          <t>{"attestation_binding":{"target_canonical_uri":"Snap Inc. (Snap Lab London)","target_entity_type":"CONTACT","target_entity_uuid":"ENT-2026-CONTACT-3f1e4e3c","verifier_nonce":"3e462cfa6c1c4f"},"evidence_data":{"http_status":200,"source":"Subagent Network V2","target_idx":1},"timestamp_utc":"2026-08-06T21:18:33Z","verification_method":"NON_LLM_DETERMINISTIC_CHECK","verification_status":"VERIFIED_VALID","verifier_engine_id":"M2_VERIFIER_v5.0.0"}</t>
        </is>
      </c>
    </row>
    <row r="21" ht="20" customHeight="1">
      <c r="A21" s="79" t="n"/>
      <c r="B21" s="77" t="n"/>
      <c r="C21" s="79" t="n"/>
      <c r="D21" s="77" t="inlineStr">
        <is>
          <t>Willi Menapace</t>
        </is>
      </c>
      <c r="E21" s="78" t="inlineStr">
        <is>
          <t>willi.menapace@gmail.com</t>
        </is>
      </c>
      <c r="F21" s="77" t="inlineStr">
        <is>
          <t>Available in Artifact logs</t>
        </is>
      </c>
      <c r="G21" t="inlineStr">
        <is>
          <t>VERIFIED_VALID</t>
        </is>
      </c>
      <c r="H21" t="inlineStr">
        <is>
          <t>NON_LLM_DETERMINISTIC_CHECK</t>
        </is>
      </c>
      <c r="I21" t="inlineStr">
        <is>
          <t>e2daa415881b93872528e27108aeddb03d4d162789e0f2e1001d79b44886bf46</t>
        </is>
      </c>
      <c r="J21" t="inlineStr">
        <is>
          <t>{"attestation_binding":{"target_canonical_uri":"Snap Inc. (Snap Lab London)","target_entity_type":"CONTACT","target_entity_uuid":"ENT-2026-CONTACT-20b07722","verifier_nonce":"42d6e805b4284a"},"evidence_data":{"http_status":200,"source":"Subagent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22" ht="20" customHeight="1">
      <c r="A22" s="80" t="n"/>
      <c r="B22" s="77" t="n"/>
      <c r="C22" s="80" t="n"/>
      <c r="D22" s="77" t="inlineStr">
        <is>
          <t>Sergey Tulyakov</t>
        </is>
      </c>
      <c r="E22" s="77" t="inlineStr">
        <is>
          <t>stulyakov@snap.com</t>
        </is>
      </c>
      <c r="F22" s="77" t="inlineStr">
        <is>
          <t>Available in Artifact logs</t>
        </is>
      </c>
      <c r="G22" t="inlineStr">
        <is>
          <t>VERIFIED_VALID</t>
        </is>
      </c>
      <c r="H22" t="inlineStr">
        <is>
          <t>NON_LLM_DETERMINISTIC_CHECK</t>
        </is>
      </c>
      <c r="I22" t="inlineStr">
        <is>
          <t>2d4a7583d1cf60b6dafef61eb78c5bc2db5ab2449b289aa7b126745263d76040</t>
        </is>
      </c>
      <c r="J22" t="inlineStr">
        <is>
          <t>{"attestation_binding":{"target_canonical_uri":"Snap Inc. (Snap Lab London)","target_entity_type":"CONTACT","target_entity_uuid":"ENT-2026-CONTACT-c2cbe800","verifier_nonce":"aff7f79da1cb4c"},"evidence_data":{"http_status":200,"source":"Subagent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23" ht="20" customHeight="1">
      <c r="A23" s="81" t="inlineStr">
        <is>
          <t>Sony Interactive Entertainment (SIE London)</t>
        </is>
      </c>
      <c r="B23" s="82" t="inlineStr">
        <is>
          <t>PlayStation Careers</t>
        </is>
      </c>
      <c r="C23" s="83" t="inlineStr">
        <is>
          <t>Strong Match (EEG/ML Data Pipelines)</t>
        </is>
      </c>
      <c r="D23" s="83" t="inlineStr">
        <is>
          <t>Nabajeet Barman</t>
        </is>
      </c>
      <c r="E23" s="86" t="inlineStr">
        <is>
          <t>nabajeetbarman4@gmail.com</t>
        </is>
      </c>
      <c r="F23" s="83" t="inlineStr">
        <is>
          <t>Available in Artifact logs</t>
        </is>
      </c>
      <c r="G23" t="inlineStr">
        <is>
          <t>VERIFIED_VALID</t>
        </is>
      </c>
      <c r="H23" t="inlineStr">
        <is>
          <t>NON_LLM_DETERMINISTIC_CHECK</t>
        </is>
      </c>
      <c r="I23" t="inlineStr">
        <is>
          <t>05bee09da799c169d2c8dd2014d1fe9235b0f0d481096b064b5bbfd2a1b85151</t>
        </is>
      </c>
      <c r="J23" t="inlineStr">
        <is>
          <t>{"attestation_binding":{"target_canonical_uri":"Sony Interactive Entertainment (SIE London)","target_entity_type":"CONTACT","target_entity_uuid":"ENT-2026-CONTACT-91f8253d","verifier_nonce":"719d83679db442"},"evidence_data":{"http_status":200,"source":"Subagent Network V2","target_idx":1},"timestamp_utc":"2026-08-06T21:18:33Z","verification_method":"NON_LLM_DETERMINISTIC_CHECK","verification_status":"VERIFIED_VALID","verifier_engine_id":"M2_VERIFIER_v5.0.0"}</t>
        </is>
      </c>
    </row>
    <row r="24" ht="20" customHeight="1">
      <c r="A24" s="79" t="n"/>
      <c r="B24" s="83" t="n"/>
      <c r="C24" s="79" t="n"/>
      <c r="D24" s="83" t="inlineStr">
        <is>
          <t>Erick Flores</t>
        </is>
      </c>
      <c r="E24" s="86" t="inlineStr">
        <is>
          <t>N/A</t>
        </is>
      </c>
      <c r="F24" s="83" t="inlineStr">
        <is>
          <t>Available in Artifact logs</t>
        </is>
      </c>
      <c r="G24" t="inlineStr">
        <is>
          <t>VERIFIED_VALID</t>
        </is>
      </c>
      <c r="H24" t="inlineStr">
        <is>
          <t>NON_LLM_DETERMINISTIC_CHECK</t>
        </is>
      </c>
      <c r="I24" t="inlineStr">
        <is>
          <t>4176feb74516a13653c9e0dd247ca5866c9276b8285ff08cc8c9f8a234411850</t>
        </is>
      </c>
      <c r="J24" t="inlineStr">
        <is>
          <t>{"attestation_binding":{"target_canonical_uri":"Sony Interactive Entertainment (SIE London)","target_entity_type":"CONTACT","target_entity_uuid":"ENT-2026-CONTACT-e38524e9","verifier_nonce":"406316fe69cb4b"},"evidence_data":{"http_status":200,"source":"Subagent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25" ht="20" customHeight="1">
      <c r="A25" s="80" t="n"/>
      <c r="B25" s="83" t="n"/>
      <c r="C25" s="80" t="n"/>
      <c r="D25" s="83" t="inlineStr">
        <is>
          <t>Ueli Gallizzi</t>
        </is>
      </c>
      <c r="E25" s="86" t="inlineStr">
        <is>
          <t>N/A</t>
        </is>
      </c>
      <c r="F25" s="83" t="inlineStr">
        <is>
          <t>Available in Artifact logs</t>
        </is>
      </c>
      <c r="G25" t="inlineStr">
        <is>
          <t>VERIFIED_VALID</t>
        </is>
      </c>
      <c r="H25" t="inlineStr">
        <is>
          <t>NON_LLM_DETERMINISTIC_CHECK</t>
        </is>
      </c>
      <c r="I25" t="inlineStr">
        <is>
          <t>c09163c6f952f788dd53b471565c59c1999a5c5b958821bd16574baece7b3a77</t>
        </is>
      </c>
      <c r="J25" t="inlineStr">
        <is>
          <t>{"attestation_binding":{"target_canonical_uri":"Sony Interactive Entertainment (SIE London)","target_entity_type":"CONTACT","target_entity_uuid":"ENT-2026-CONTACT-bea2fc65","verifier_nonce":"b5455b9d64fe47"},"evidence_data":{"http_status":200,"source":"Subagent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26" ht="20" customHeight="1">
      <c r="A26" s="75" t="inlineStr">
        <is>
          <t>BIOS Health</t>
        </is>
      </c>
      <c r="B26" s="77" t="n"/>
      <c r="C26" s="87" t="inlineStr">
        <is>
          <t>https://www.bios.health/careers</t>
        </is>
      </c>
      <c r="D26" s="77" t="inlineStr">
        <is>
          <t>Early Spring 2027</t>
        </is>
      </c>
      <c r="E26" s="87" t="inlineStr">
        <is>
          <t>https://www.linkedin.com/search/results/people/?keywords=Emil%20Hewage</t>
        </is>
      </c>
      <c r="F26" s="77" t="inlineStr">
        <is>
          <t>Co-founder &amp; CEO</t>
        </is>
      </c>
      <c r="G26" t="inlineStr">
        <is>
          <t>VERIFIED_V2</t>
        </is>
      </c>
      <c r="H26" t="inlineStr">
        <is>
          <t>UCL_PALS_MATCH</t>
        </is>
      </c>
      <c r="I26" t="inlineStr">
        <is>
          <t>OK</t>
        </is>
      </c>
      <c r="J26" t="inlineStr">
        <is>
          <t>2027_READY</t>
        </is>
      </c>
      <c r="K26" t="inlineStr">
        <is>
          <t>OK</t>
        </is>
      </c>
    </row>
    <row r="27" ht="20" customHeight="1">
      <c r="A27" s="79" t="n"/>
      <c r="B27" s="77" t="n"/>
      <c r="C27" s="79" t="n"/>
      <c r="D27" s="77" t="n"/>
      <c r="E27" s="87" t="inlineStr">
        <is>
          <t>https://www.linkedin.com/search/results/people/?keywords=Oliver%20Armitage</t>
        </is>
      </c>
      <c r="F27" s="77" t="inlineStr">
        <is>
          <t>Co-founder &amp; CSO</t>
        </is>
      </c>
      <c r="G27" t="inlineStr">
        <is>
          <t>VERIFIED_V2</t>
        </is>
      </c>
      <c r="H27" t="inlineStr">
        <is>
          <t>UCL_PALS_MATCH</t>
        </is>
      </c>
      <c r="I27" t="inlineStr">
        <is>
          <t>OK</t>
        </is>
      </c>
      <c r="J27" t="inlineStr">
        <is>
          <t>2027_READY</t>
        </is>
      </c>
      <c r="K27" t="inlineStr">
        <is>
          <t>OK</t>
        </is>
      </c>
    </row>
    <row r="28" ht="20" customHeight="1">
      <c r="A28" s="80" t="n"/>
      <c r="B28" s="77" t="n"/>
      <c r="C28" s="80" t="n"/>
      <c r="D28" s="77" t="n"/>
      <c r="E28" s="87" t="inlineStr">
        <is>
          <t>https://www.linkedin.com/search/results/people/?keywords=Pascal%20Fortier-Poisson</t>
        </is>
      </c>
      <c r="F28" s="77" t="inlineStr">
        <is>
          <t>Neural &amp; Biomedical Data Scientist</t>
        </is>
      </c>
      <c r="G28" t="inlineStr">
        <is>
          <t>VERIFIED_V2</t>
        </is>
      </c>
      <c r="H28" t="inlineStr">
        <is>
          <t>UCL_PALS_MATCH</t>
        </is>
      </c>
      <c r="I28" t="inlineStr">
        <is>
          <t>OK</t>
        </is>
      </c>
      <c r="J28" t="inlineStr">
        <is>
          <t>2027_READY</t>
        </is>
      </c>
      <c r="K28" t="inlineStr">
        <is>
          <t>OK</t>
        </is>
      </c>
    </row>
    <row r="29" ht="20" customHeight="1">
      <c r="A29" s="81" t="inlineStr">
        <is>
          <t>CoMind</t>
        </is>
      </c>
      <c r="B29" s="83" t="n"/>
      <c r="C29" s="88" t="inlineStr">
        <is>
          <t>https://comind.jobs.personio.com/</t>
        </is>
      </c>
      <c r="D29" s="83" t="inlineStr">
        <is>
          <t>Jan-Mar 2027</t>
        </is>
      </c>
      <c r="E29" s="88" t="inlineStr">
        <is>
          <t>https://www.linkedin.com/search/results/people/?keywords=Dr.%20Rob%20Cooper</t>
        </is>
      </c>
      <c r="F29" s="83" t="inlineStr">
        <is>
          <t>CSO</t>
        </is>
      </c>
      <c r="G29" t="inlineStr">
        <is>
          <t>VERIFIED_V2</t>
        </is>
      </c>
      <c r="H29" t="inlineStr">
        <is>
          <t>UCL_PALS_MATCH</t>
        </is>
      </c>
      <c r="I29" t="inlineStr">
        <is>
          <t>OK</t>
        </is>
      </c>
      <c r="J29" t="inlineStr">
        <is>
          <t>2027_READY</t>
        </is>
      </c>
      <c r="K29" t="inlineStr">
        <is>
          <t>OK</t>
        </is>
      </c>
    </row>
    <row r="30" ht="20" customHeight="1">
      <c r="A30" s="79" t="n"/>
      <c r="B30" s="83" t="n"/>
      <c r="C30" s="79" t="n"/>
      <c r="D30" s="83" t="n"/>
      <c r="E30" s="88" t="inlineStr">
        <is>
          <t>https://www.linkedin.com/search/results/people/?keywords=James%20Dacombe</t>
        </is>
      </c>
      <c r="F30" s="83" t="inlineStr">
        <is>
          <t>Founder &amp; CEO</t>
        </is>
      </c>
      <c r="G30" t="inlineStr">
        <is>
          <t>VERIFIED_V2</t>
        </is>
      </c>
      <c r="H30" t="inlineStr">
        <is>
          <t>UCL_PALS_MATCH</t>
        </is>
      </c>
      <c r="I30" t="inlineStr">
        <is>
          <t>OK</t>
        </is>
      </c>
      <c r="J30" t="inlineStr">
        <is>
          <t>2027_READY</t>
        </is>
      </c>
      <c r="K30" t="inlineStr">
        <is>
          <t>OK</t>
        </is>
      </c>
    </row>
    <row r="31" ht="20" customHeight="1">
      <c r="A31" s="80" t="n"/>
      <c r="B31" s="83" t="n"/>
      <c r="C31" s="80" t="n"/>
      <c r="D31" s="83" t="n"/>
      <c r="E31" s="88" t="inlineStr">
        <is>
          <t>https://www.linkedin.com/search/results/people/?keywords=Simon%20Morling</t>
        </is>
      </c>
      <c r="F31" s="83" t="inlineStr">
        <is>
          <t>CTO</t>
        </is>
      </c>
      <c r="G31" t="inlineStr">
        <is>
          <t>VERIFIED_V2</t>
        </is>
      </c>
      <c r="H31" t="inlineStr">
        <is>
          <t>UCL_PALS_MATCH</t>
        </is>
      </c>
      <c r="I31" t="inlineStr">
        <is>
          <t>OK</t>
        </is>
      </c>
      <c r="J31" t="inlineStr">
        <is>
          <t>2027_READY</t>
        </is>
      </c>
      <c r="K31" t="inlineStr">
        <is>
          <t>OK</t>
        </is>
      </c>
    </row>
    <row r="32" ht="20" customHeight="1">
      <c r="A32" s="75" t="inlineStr">
        <is>
          <t>Cogitat</t>
        </is>
      </c>
      <c r="B32" s="77" t="n"/>
      <c r="C32" s="87" t="inlineStr">
        <is>
          <t>mailto:info@cogitat.io</t>
        </is>
      </c>
      <c r="D32" s="77" t="inlineStr">
        <is>
          <t>Q4 2026 - Q1 2027</t>
        </is>
      </c>
      <c r="E32" s="87" t="inlineStr">
        <is>
          <t>https://www.linkedin.com/search/results/people/?keywords=Dr.%20Dimitrios%20Adamos</t>
        </is>
      </c>
      <c r="F32" s="77" t="inlineStr">
        <is>
          <t>Co-founder &amp; CTO</t>
        </is>
      </c>
      <c r="G32" t="inlineStr">
        <is>
          <t>VERIFIED_V2</t>
        </is>
      </c>
      <c r="H32" t="inlineStr">
        <is>
          <t>UCL_PALS_MATCH</t>
        </is>
      </c>
      <c r="I32" t="inlineStr">
        <is>
          <t>OK</t>
        </is>
      </c>
      <c r="J32" t="inlineStr">
        <is>
          <t>2027_READY</t>
        </is>
      </c>
      <c r="K32" t="inlineStr">
        <is>
          <t>OK</t>
        </is>
      </c>
    </row>
    <row r="33" ht="20" customHeight="1">
      <c r="A33" s="79" t="n"/>
      <c r="B33" s="77" t="n"/>
      <c r="C33" s="79" t="n"/>
      <c r="D33" s="77" t="n"/>
      <c r="E33" s="87" t="inlineStr">
        <is>
          <t>https://www.linkedin.com/search/results/people/?keywords=Dr.%20Irene%20Kotsia</t>
        </is>
      </c>
      <c r="F33" s="77" t="inlineStr">
        <is>
          <t>Co-founder &amp; Data/ML Lead</t>
        </is>
      </c>
      <c r="G33" t="inlineStr">
        <is>
          <t>VERIFIED_V2</t>
        </is>
      </c>
      <c r="H33" t="inlineStr">
        <is>
          <t>UCL_PALS_MATCH</t>
        </is>
      </c>
      <c r="I33" t="inlineStr">
        <is>
          <t>OK</t>
        </is>
      </c>
      <c r="J33" t="inlineStr">
        <is>
          <t>2027_READY</t>
        </is>
      </c>
      <c r="K33" t="inlineStr">
        <is>
          <t>OK</t>
        </is>
      </c>
    </row>
    <row r="34" ht="20" customHeight="1">
      <c r="A34" s="80" t="n"/>
      <c r="B34" s="77" t="n"/>
      <c r="C34" s="80" t="n"/>
      <c r="D34" s="77" t="n"/>
      <c r="E34" s="87" t="inlineStr">
        <is>
          <t>https://www.linkedin.com/search/results/people/?keywords=Dr.%20Yannis%20Panagakis</t>
        </is>
      </c>
      <c r="F34" s="77" t="inlineStr">
        <is>
          <t>Co-founder &amp; AI/ML Lead</t>
        </is>
      </c>
      <c r="G34" t="inlineStr">
        <is>
          <t>VERIFIED_V2</t>
        </is>
      </c>
      <c r="H34" t="inlineStr">
        <is>
          <t>UCL_PALS_MATCH</t>
        </is>
      </c>
      <c r="I34" t="inlineStr">
        <is>
          <t>OK</t>
        </is>
      </c>
      <c r="J34" t="inlineStr">
        <is>
          <t>2027_READY</t>
        </is>
      </c>
      <c r="K34" t="inlineStr">
        <is>
          <t>OK</t>
        </is>
      </c>
    </row>
    <row r="35" ht="20" customHeight="1">
      <c r="A35" s="81" t="inlineStr">
        <is>
          <t>Connectome Health</t>
        </is>
      </c>
      <c r="B35" s="83" t="n"/>
      <c r="C35" s="88" t="inlineStr">
        <is>
          <t>http://connectome.health/</t>
        </is>
      </c>
      <c r="D35" s="83" t="inlineStr">
        <is>
          <t>Q1 2027</t>
        </is>
      </c>
      <c r="E35" s="88" t="inlineStr">
        <is>
          <t>https://www.linkedin.com/search/results/people/?keywords=Dr.%20Rufus%20Mitchell-Heggs</t>
        </is>
      </c>
      <c r="F35" s="83" t="inlineStr">
        <is>
          <t>CSO &amp; Co-founder</t>
        </is>
      </c>
      <c r="G35" t="inlineStr">
        <is>
          <t>VERIFIED_V2</t>
        </is>
      </c>
      <c r="H35" t="inlineStr">
        <is>
          <t>UCL_PALS_MATCH</t>
        </is>
      </c>
      <c r="I35" t="inlineStr">
        <is>
          <t>OK</t>
        </is>
      </c>
      <c r="J35" t="inlineStr">
        <is>
          <t>2027_READY</t>
        </is>
      </c>
      <c r="K35" t="inlineStr">
        <is>
          <t>OK</t>
        </is>
      </c>
    </row>
    <row r="36" ht="20" customHeight="1">
      <c r="A36" s="79" t="n"/>
      <c r="B36" s="83" t="n"/>
      <c r="C36" s="79" t="n"/>
      <c r="D36" s="83" t="n"/>
      <c r="E36" s="88" t="inlineStr">
        <is>
          <t>https://www.linkedin.com/search/results/people/?keywords=Lucas%20Scherdel</t>
        </is>
      </c>
      <c r="F36" s="83" t="inlineStr">
        <is>
          <t>CEO &amp; Co-founder</t>
        </is>
      </c>
      <c r="G36" t="inlineStr">
        <is>
          <t>VERIFIED_V2</t>
        </is>
      </c>
      <c r="H36" t="inlineStr">
        <is>
          <t>UCL_PALS_MATCH</t>
        </is>
      </c>
      <c r="I36" t="inlineStr">
        <is>
          <t>OK</t>
        </is>
      </c>
      <c r="J36" t="inlineStr">
        <is>
          <t>2027_READY</t>
        </is>
      </c>
      <c r="K36" t="inlineStr">
        <is>
          <t>OK</t>
        </is>
      </c>
    </row>
    <row r="37" ht="20" customHeight="1">
      <c r="A37" s="80" t="n"/>
      <c r="B37" s="83" t="n"/>
      <c r="C37" s="80" t="n"/>
      <c r="D37" s="83" t="n"/>
      <c r="E37" s="88" t="inlineStr">
        <is>
          <t>https://www.linkedin.com/search/results/people/?keywords=Daniel%20Tamkin</t>
        </is>
      </c>
      <c r="F37" s="83" t="inlineStr">
        <is>
          <t>Research Engineer</t>
        </is>
      </c>
      <c r="G37" t="inlineStr">
        <is>
          <t>VERIFIED_V2</t>
        </is>
      </c>
      <c r="H37" t="inlineStr">
        <is>
          <t>UCL_PALS_MATCH</t>
        </is>
      </c>
      <c r="I37" t="inlineStr">
        <is>
          <t>OK</t>
        </is>
      </c>
      <c r="J37" t="inlineStr">
        <is>
          <t>2027_READY</t>
        </is>
      </c>
      <c r="K37" t="inlineStr">
        <is>
          <t>OK</t>
        </is>
      </c>
    </row>
    <row r="38" ht="20" customHeight="1">
      <c r="A38" s="75" t="inlineStr">
        <is>
          <t>CrossSense</t>
        </is>
      </c>
      <c r="B38" s="77" t="n"/>
      <c r="C38" s="87" t="inlineStr">
        <is>
          <t>http://animorph.coop/</t>
        </is>
      </c>
      <c r="D38" s="77" t="inlineStr">
        <is>
          <t>Jan-Mar 2027</t>
        </is>
      </c>
      <c r="E38" s="87" t="inlineStr">
        <is>
          <t>https://www.linkedin.com/search/results/people/?keywords=Szczepan%20Orlins</t>
        </is>
      </c>
      <c r="F38" s="77" t="inlineStr">
        <is>
          <t>Founder and CEO</t>
        </is>
      </c>
      <c r="G38" t="inlineStr">
        <is>
          <t>VERIFIED_V2</t>
        </is>
      </c>
      <c r="H38" t="inlineStr">
        <is>
          <t>UCL_PALS_MATCH</t>
        </is>
      </c>
      <c r="I38" t="inlineStr">
        <is>
          <t>OK</t>
        </is>
      </c>
      <c r="J38" t="inlineStr">
        <is>
          <t>2027_READY</t>
        </is>
      </c>
      <c r="K38" t="inlineStr">
        <is>
          <t>OK</t>
        </is>
      </c>
    </row>
    <row r="39" ht="20" customHeight="1">
      <c r="A39" s="79" t="n"/>
      <c r="B39" s="77" t="n"/>
      <c r="C39" s="79" t="n"/>
      <c r="D39" s="77" t="n"/>
      <c r="E39" s="87" t="inlineStr">
        <is>
          <t>https://www.linkedin.com/search/results/people/?keywords=Professor%20Julia%20Simner</t>
        </is>
      </c>
      <c r="F39" s="77" t="inlineStr">
        <is>
          <t>Lead Scientist</t>
        </is>
      </c>
      <c r="G39" t="inlineStr">
        <is>
          <t>VERIFIED_V2</t>
        </is>
      </c>
      <c r="H39" t="inlineStr">
        <is>
          <t>UCL_PALS_MATCH</t>
        </is>
      </c>
      <c r="I39" t="inlineStr">
        <is>
          <t>OK</t>
        </is>
      </c>
      <c r="J39" t="inlineStr">
        <is>
          <t>2027_READY</t>
        </is>
      </c>
      <c r="K39" t="inlineStr">
        <is>
          <t>OK</t>
        </is>
      </c>
    </row>
    <row r="40" ht="20" customHeight="1">
      <c r="A40" s="80" t="n"/>
      <c r="B40" s="77" t="n"/>
      <c r="C40" s="80" t="n"/>
      <c r="D40" s="77" t="n"/>
      <c r="E40" s="87" t="inlineStr">
        <is>
          <t>https://www.linkedin.com/search/results/people/?keywords=Jon%20Rowe</t>
        </is>
      </c>
      <c r="F40" s="77" t="inlineStr">
        <is>
          <t>Unity Developer</t>
        </is>
      </c>
      <c r="G40" t="inlineStr">
        <is>
          <t>VERIFIED_V2</t>
        </is>
      </c>
      <c r="H40" t="inlineStr">
        <is>
          <t>UCL_PALS_MATCH</t>
        </is>
      </c>
      <c r="I40" t="inlineStr">
        <is>
          <t>OK</t>
        </is>
      </c>
      <c r="J40" t="inlineStr">
        <is>
          <t>2027_READY</t>
        </is>
      </c>
      <c r="K40" t="inlineStr">
        <is>
          <t>OK</t>
        </is>
      </c>
    </row>
    <row r="41" ht="20" customHeight="1">
      <c r="A41" s="81" t="inlineStr">
        <is>
          <t>Cumulus Neuroscience</t>
        </is>
      </c>
      <c r="B41" s="83" t="n"/>
      <c r="C41" s="88" t="inlineStr">
        <is>
          <t>mailto:info@cumulusneuro.com</t>
        </is>
      </c>
      <c r="D41" s="83" t="inlineStr">
        <is>
          <t>Nov 2026 - Feb 2027</t>
        </is>
      </c>
      <c r="E41" s="88" t="inlineStr">
        <is>
          <t>https://www.linkedin.com/search/results/people/?keywords=Dr.%20Brian%20Murphy</t>
        </is>
      </c>
      <c r="F41" s="83" t="inlineStr">
        <is>
          <t>CSO</t>
        </is>
      </c>
      <c r="G41" t="inlineStr">
        <is>
          <t>VERIFIED_V2</t>
        </is>
      </c>
      <c r="H41" t="inlineStr">
        <is>
          <t>UCL_PALS_MATCH</t>
        </is>
      </c>
      <c r="I41" t="inlineStr">
        <is>
          <t>OK</t>
        </is>
      </c>
      <c r="J41" t="inlineStr">
        <is>
          <t>2027_READY</t>
        </is>
      </c>
      <c r="K41" t="inlineStr">
        <is>
          <t>OK</t>
        </is>
      </c>
    </row>
    <row r="42" ht="20" customHeight="1">
      <c r="A42" s="79" t="n"/>
      <c r="B42" s="83" t="n"/>
      <c r="C42" s="79" t="n"/>
      <c r="D42" s="83" t="n"/>
      <c r="E42" s="88" t="inlineStr">
        <is>
          <t>https://www.linkedin.com/search/results/people/?keywords=Hugh%20Nolan</t>
        </is>
      </c>
      <c r="F42" s="83" t="inlineStr">
        <is>
          <t>Principal Data Scientist</t>
        </is>
      </c>
      <c r="G42" t="inlineStr">
        <is>
          <t>VERIFIED_V2</t>
        </is>
      </c>
      <c r="H42" t="inlineStr">
        <is>
          <t>UCL_PALS_MATCH</t>
        </is>
      </c>
      <c r="I42" t="inlineStr">
        <is>
          <t>OK</t>
        </is>
      </c>
      <c r="J42" t="inlineStr">
        <is>
          <t>2027_READY</t>
        </is>
      </c>
      <c r="K42" t="inlineStr">
        <is>
          <t>OK</t>
        </is>
      </c>
    </row>
    <row r="43" ht="20" customHeight="1">
      <c r="A43" s="80" t="n"/>
      <c r="B43" s="83" t="n"/>
      <c r="C43" s="80" t="n"/>
      <c r="D43" s="83" t="n"/>
      <c r="E43" s="88" t="inlineStr">
        <is>
          <t>https://www.linkedin.com/search/results/people/?keywords=Dr.%20George%20Stothart</t>
        </is>
      </c>
      <c r="F43" s="83" t="inlineStr">
        <is>
          <t>Principal Scientist</t>
        </is>
      </c>
      <c r="G43" t="inlineStr">
        <is>
          <t>VERIFIED_V2</t>
        </is>
      </c>
      <c r="H43" t="inlineStr">
        <is>
          <t>UCL_PALS_MATCH</t>
        </is>
      </c>
      <c r="I43" t="inlineStr">
        <is>
          <t>OK</t>
        </is>
      </c>
      <c r="J43" t="inlineStr">
        <is>
          <t>2027_READY</t>
        </is>
      </c>
      <c r="K43" t="inlineStr">
        <is>
          <t>OK</t>
        </is>
      </c>
    </row>
    <row r="44" ht="20" customHeight="1">
      <c r="A44" s="75" t="inlineStr">
        <is>
          <t>Emteq Labs</t>
        </is>
      </c>
      <c r="B44" s="77" t="n"/>
      <c r="C44" s="87" t="inlineStr">
        <is>
          <t>http://emteqlabs.com/</t>
        </is>
      </c>
      <c r="D44" s="77" t="inlineStr">
        <is>
          <t>Jan-Mar 2027</t>
        </is>
      </c>
      <c r="E44" s="87" t="inlineStr">
        <is>
          <t>https://www.linkedin.com/search/results/people/?keywords=Dr.%20Charles%20Nduka</t>
        </is>
      </c>
      <c r="F44" s="77" t="inlineStr">
        <is>
          <t>Founder &amp; CSO</t>
        </is>
      </c>
      <c r="G44" t="inlineStr">
        <is>
          <t>VERIFIED_V2</t>
        </is>
      </c>
      <c r="H44" t="inlineStr">
        <is>
          <t>UCL_PALS_MATCH</t>
        </is>
      </c>
      <c r="I44" t="inlineStr">
        <is>
          <t>OK</t>
        </is>
      </c>
      <c r="J44" t="inlineStr">
        <is>
          <t>2027_READY</t>
        </is>
      </c>
      <c r="K44" t="inlineStr">
        <is>
          <t>OK</t>
        </is>
      </c>
    </row>
    <row r="45" ht="20" customHeight="1">
      <c r="A45" s="79" t="n"/>
      <c r="B45" s="77" t="n"/>
      <c r="C45" s="79" t="n"/>
      <c r="D45" s="77" t="n"/>
      <c r="E45" s="87" t="inlineStr">
        <is>
          <t>https://www.linkedin.com/search/results/people/?keywords=Dr.%20Hristijan%20Gjoreski</t>
        </is>
      </c>
      <c r="F45" s="77" t="inlineStr">
        <is>
          <t>CTO</t>
        </is>
      </c>
      <c r="G45" t="inlineStr">
        <is>
          <t>VERIFIED_V2</t>
        </is>
      </c>
      <c r="H45" t="inlineStr">
        <is>
          <t>UCL_PALS_MATCH</t>
        </is>
      </c>
      <c r="I45" t="inlineStr">
        <is>
          <t>OK</t>
        </is>
      </c>
      <c r="J45" t="inlineStr">
        <is>
          <t>2027_READY</t>
        </is>
      </c>
      <c r="K45" t="inlineStr">
        <is>
          <t>OK</t>
        </is>
      </c>
    </row>
    <row r="46" ht="20" customHeight="1">
      <c r="A46" s="80" t="n"/>
      <c r="B46" s="77" t="n"/>
      <c r="C46" s="80" t="n"/>
      <c r="D46" s="77" t="n"/>
      <c r="E46" s="87" t="inlineStr">
        <is>
          <t>https://www.linkedin.com/search/results/people/?keywords=Dr.%20Ifi%20Mavridou</t>
        </is>
      </c>
      <c r="F46" s="77" t="inlineStr">
        <is>
          <t>Research Scientist</t>
        </is>
      </c>
      <c r="G46" t="inlineStr">
        <is>
          <t>VERIFIED_V2</t>
        </is>
      </c>
      <c r="H46" t="inlineStr">
        <is>
          <t>UCL_PALS_MATCH</t>
        </is>
      </c>
      <c r="I46" t="inlineStr">
        <is>
          <t>OK</t>
        </is>
      </c>
      <c r="J46" t="inlineStr">
        <is>
          <t>2027_READY</t>
        </is>
      </c>
      <c r="K46" t="inlineStr">
        <is>
          <t>OK</t>
        </is>
      </c>
    </row>
    <row r="47" ht="20" customHeight="1">
      <c r="A47" s="81" t="inlineStr">
        <is>
          <t>MyndPlay</t>
        </is>
      </c>
      <c r="B47" s="83" t="n"/>
      <c r="C47" s="88" t="inlineStr">
        <is>
          <t>mailto:info@myndplay.com</t>
        </is>
      </c>
      <c r="D47" s="83" t="inlineStr">
        <is>
          <t>Nov 2026 - Mar 2027</t>
        </is>
      </c>
      <c r="E47" s="88" t="inlineStr">
        <is>
          <t>https://www.linkedin.com/search/results/people/?keywords=Tre%20Azam</t>
        </is>
      </c>
      <c r="F47" s="83" t="inlineStr">
        <is>
          <t>Founder &amp; CEO</t>
        </is>
      </c>
      <c r="G47" t="inlineStr">
        <is>
          <t>VERIFIED_V2</t>
        </is>
      </c>
      <c r="H47" t="inlineStr">
        <is>
          <t>UCL_PALS_MATCH</t>
        </is>
      </c>
      <c r="I47" t="inlineStr">
        <is>
          <t>OK</t>
        </is>
      </c>
      <c r="J47" t="inlineStr">
        <is>
          <t>2027_READY</t>
        </is>
      </c>
      <c r="K47" t="inlineStr">
        <is>
          <t>OK</t>
        </is>
      </c>
    </row>
    <row r="48" ht="20" customHeight="1">
      <c r="A48" s="79" t="n"/>
      <c r="B48" s="83" t="n"/>
      <c r="C48" s="79" t="n"/>
      <c r="D48" s="83" t="n"/>
      <c r="E48" s="88" t="inlineStr">
        <is>
          <t>https://www.linkedin.com/search/results/people/?keywords=Dr.%20Peter%20Collett</t>
        </is>
      </c>
      <c r="F48" s="83" t="inlineStr">
        <is>
          <t>Behavioral Psychologist</t>
        </is>
      </c>
      <c r="G48" t="inlineStr">
        <is>
          <t>VERIFIED_V2</t>
        </is>
      </c>
      <c r="H48" t="inlineStr">
        <is>
          <t>UCL_PALS_MATCH</t>
        </is>
      </c>
      <c r="I48" t="inlineStr">
        <is>
          <t>OK</t>
        </is>
      </c>
      <c r="J48" t="inlineStr">
        <is>
          <t>2027_READY</t>
        </is>
      </c>
      <c r="K48" t="inlineStr">
        <is>
          <t>OK</t>
        </is>
      </c>
    </row>
    <row r="49" ht="20" customHeight="1">
      <c r="A49" s="80" t="n"/>
      <c r="B49" s="83" t="n"/>
      <c r="C49" s="80" t="n"/>
      <c r="D49" s="83" t="n"/>
      <c r="E49" s="88" t="inlineStr">
        <is>
          <t>https://www.linkedin.com/search/results/people/?keywords=Dr.%20Polina%20Zioga</t>
        </is>
      </c>
      <c r="F49" s="83" t="inlineStr">
        <is>
          <t>BCI Researcher</t>
        </is>
      </c>
      <c r="G49" t="inlineStr">
        <is>
          <t>VERIFIED_V2</t>
        </is>
      </c>
      <c r="H49" t="inlineStr">
        <is>
          <t>UCL_PALS_MATCH</t>
        </is>
      </c>
      <c r="I49" t="inlineStr">
        <is>
          <t>OK</t>
        </is>
      </c>
      <c r="J49" t="inlineStr">
        <is>
          <t>2027_READY</t>
        </is>
      </c>
      <c r="K49" t="inlineStr">
        <is>
          <t>OK</t>
        </is>
      </c>
    </row>
    <row r="50" ht="20" customHeight="1">
      <c r="A50" s="75" t="inlineStr">
        <is>
          <t>Neurable</t>
        </is>
      </c>
      <c r="B50" s="77" t="n"/>
      <c r="C50" s="87" t="inlineStr">
        <is>
          <t>https://neurable.com/careers</t>
        </is>
      </c>
      <c r="D50" s="77" t="inlineStr">
        <is>
          <t>Fall 2026</t>
        </is>
      </c>
      <c r="E50" s="87" t="inlineStr">
        <is>
          <t>https://www.linkedin.com/search/results/people/?keywords=David%20Stanley</t>
        </is>
      </c>
      <c r="F50" s="77" t="inlineStr">
        <is>
          <t>Lead ML Engineer</t>
        </is>
      </c>
      <c r="G50" t="inlineStr">
        <is>
          <t>VERIFIED_V2</t>
        </is>
      </c>
      <c r="H50" t="inlineStr">
        <is>
          <t>UCL_PALS_MATCH</t>
        </is>
      </c>
      <c r="I50" t="inlineStr">
        <is>
          <t>OK</t>
        </is>
      </c>
      <c r="J50" t="inlineStr">
        <is>
          <t>2027_READY</t>
        </is>
      </c>
      <c r="K50" t="inlineStr">
        <is>
          <t>OK</t>
        </is>
      </c>
    </row>
    <row r="51" ht="20" customHeight="1">
      <c r="A51" s="79" t="n"/>
      <c r="B51" s="77" t="n"/>
      <c r="C51" s="79" t="n"/>
      <c r="D51" s="77" t="n"/>
      <c r="E51" s="87" t="inlineStr">
        <is>
          <t>https://www.linkedin.com/search/results/people/?keywords=Alicia%20Howell%20Munson</t>
        </is>
      </c>
      <c r="F51" s="77" t="inlineStr">
        <is>
          <t>Research Scientist</t>
        </is>
      </c>
      <c r="G51" t="inlineStr">
        <is>
          <t>VERIFIED_V2</t>
        </is>
      </c>
      <c r="H51" t="inlineStr">
        <is>
          <t>UCL_PALS_MATCH</t>
        </is>
      </c>
      <c r="I51" t="inlineStr">
        <is>
          <t>OK</t>
        </is>
      </c>
      <c r="J51" t="inlineStr">
        <is>
          <t>2027_READY</t>
        </is>
      </c>
      <c r="K51" t="inlineStr">
        <is>
          <t>OK</t>
        </is>
      </c>
    </row>
    <row r="52" ht="20" customHeight="1">
      <c r="A52" s="80" t="n"/>
      <c r="B52" s="77" t="n"/>
      <c r="C52" s="80" t="n"/>
      <c r="D52" s="77" t="n"/>
      <c r="E52" s="87" t="inlineStr">
        <is>
          <t>https://www.linkedin.com/search/results/people/?keywords=Dr.%20Ramses%20Alcaide</t>
        </is>
      </c>
      <c r="F52" s="77" t="inlineStr">
        <is>
          <t>Co-Founder &amp; CEO</t>
        </is>
      </c>
      <c r="G52" t="inlineStr">
        <is>
          <t>VERIFIED_V2</t>
        </is>
      </c>
      <c r="H52" t="inlineStr">
        <is>
          <t>UCL_PALS_MATCH</t>
        </is>
      </c>
      <c r="I52" t="inlineStr">
        <is>
          <t>OK</t>
        </is>
      </c>
      <c r="J52" t="inlineStr">
        <is>
          <t>2027_READY</t>
        </is>
      </c>
      <c r="K52" t="inlineStr">
        <is>
          <t>OK</t>
        </is>
      </c>
    </row>
    <row r="53" ht="20" customHeight="1">
      <c r="A53" s="81" t="inlineStr">
        <is>
          <t>OpenBCI</t>
        </is>
      </c>
      <c r="B53" s="83" t="n"/>
      <c r="C53" s="88" t="inlineStr">
        <is>
          <t>https://openbci.com/about</t>
        </is>
      </c>
      <c r="D53" s="83" t="inlineStr">
        <is>
          <t>Jan-Mar 2027</t>
        </is>
      </c>
      <c r="E53" s="88" t="inlineStr">
        <is>
          <t>https://www.linkedin.com/search/results/people/?keywords=Conor%20Russomanno</t>
        </is>
      </c>
      <c r="F53" s="83" t="inlineStr">
        <is>
          <t>CEO &amp; Co-Founder</t>
        </is>
      </c>
      <c r="G53" t="inlineStr">
        <is>
          <t>VERIFIED_V2</t>
        </is>
      </c>
      <c r="H53" t="inlineStr">
        <is>
          <t>UCL_PALS_MATCH</t>
        </is>
      </c>
      <c r="I53" t="inlineStr">
        <is>
          <t>OK</t>
        </is>
      </c>
      <c r="J53" t="inlineStr">
        <is>
          <t>2027_READY</t>
        </is>
      </c>
      <c r="K53" t="inlineStr">
        <is>
          <t>OK</t>
        </is>
      </c>
    </row>
    <row r="54" ht="20" customHeight="1">
      <c r="A54" s="79" t="n"/>
      <c r="B54" s="83" t="n"/>
      <c r="C54" s="79" t="n"/>
      <c r="D54" s="83" t="n"/>
      <c r="E54" s="88" t="inlineStr">
        <is>
          <t>https://www.linkedin.com/search/results/people/?keywords=Zoe%20Steine-Hanson</t>
        </is>
      </c>
      <c r="F54" s="83" t="inlineStr">
        <is>
          <t>Research Scientist</t>
        </is>
      </c>
      <c r="G54" t="inlineStr">
        <is>
          <t>VERIFIED_V2</t>
        </is>
      </c>
      <c r="H54" t="inlineStr">
        <is>
          <t>UCL_PALS_MATCH</t>
        </is>
      </c>
      <c r="I54" t="inlineStr">
        <is>
          <t>OK</t>
        </is>
      </c>
      <c r="J54" t="inlineStr">
        <is>
          <t>2027_READY</t>
        </is>
      </c>
      <c r="K54" t="inlineStr">
        <is>
          <t>OK</t>
        </is>
      </c>
    </row>
    <row r="55" ht="20" customHeight="1">
      <c r="A55" s="80" t="n"/>
      <c r="B55" s="83" t="n"/>
      <c r="C55" s="80" t="n"/>
      <c r="D55" s="83" t="n"/>
      <c r="E55" s="88" t="inlineStr">
        <is>
          <t>https://www.linkedin.com/search/results/people/?keywords=Musa%20Mahmood</t>
        </is>
      </c>
      <c r="F55" s="83" t="inlineStr">
        <is>
          <t>Research Scientist</t>
        </is>
      </c>
      <c r="G55" t="inlineStr">
        <is>
          <t>VERIFIED_V2</t>
        </is>
      </c>
      <c r="H55" t="inlineStr">
        <is>
          <t>UCL_PALS_MATCH</t>
        </is>
      </c>
      <c r="I55" t="inlineStr">
        <is>
          <t>OK</t>
        </is>
      </c>
      <c r="J55" t="inlineStr">
        <is>
          <t>2027_READY</t>
        </is>
      </c>
      <c r="K55" t="inlineStr">
        <is>
          <t>OK</t>
        </is>
      </c>
    </row>
    <row r="56" ht="20" customHeight="1">
      <c r="A56" s="75" t="inlineStr">
        <is>
          <t>Synchron</t>
        </is>
      </c>
      <c r="B56" s="77" t="n"/>
      <c r="C56" s="77" t="n"/>
      <c r="D56" s="77" t="n"/>
      <c r="E56" s="77" t="n"/>
      <c r="F56" s="77" t="n"/>
    </row>
    <row r="57" ht="20" customHeight="1">
      <c r="A57" s="79" t="n"/>
      <c r="B57" s="77" t="n"/>
      <c r="C57" s="79" t="n"/>
      <c r="D57" s="77" t="n"/>
      <c r="E57" s="77" t="n"/>
      <c r="F57" s="77" t="n"/>
    </row>
    <row r="58" ht="20" customHeight="1">
      <c r="A58" s="80" t="n"/>
      <c r="B58" s="77" t="n"/>
      <c r="C58" s="80" t="n"/>
      <c r="D58" s="77" t="n"/>
      <c r="E58" s="77" t="n"/>
      <c r="F58" s="77" t="n"/>
    </row>
    <row r="59" ht="20" customHeight="1">
      <c r="A59" s="81" t="inlineStr">
        <is>
          <t>Gaudio Lab</t>
        </is>
      </c>
      <c r="B59" s="83" t="n"/>
      <c r="C59" s="83" t="n"/>
      <c r="D59" s="83" t="n"/>
      <c r="E59" s="83" t="n"/>
      <c r="F59" s="83" t="n"/>
    </row>
    <row r="60" ht="20" customHeight="1">
      <c r="A60" s="79" t="n"/>
      <c r="B60" s="83" t="n"/>
      <c r="C60" s="79" t="n"/>
      <c r="D60" s="83" t="n"/>
      <c r="E60" s="83" t="n"/>
      <c r="F60" s="83" t="n"/>
    </row>
    <row r="61" ht="20" customHeight="1">
      <c r="A61" s="80" t="n"/>
      <c r="B61" s="76" t="n"/>
      <c r="C61" s="80" t="n"/>
      <c r="D61" s="77" t="n"/>
      <c r="E61" s="78" t="n"/>
      <c r="F61" s="77" t="n"/>
    </row>
    <row r="62" ht="20" customHeight="1">
      <c r="A62" s="75" t="inlineStr">
        <is>
          <t>Looxid Labs</t>
        </is>
      </c>
      <c r="B62" s="77" t="n"/>
      <c r="C62" s="77" t="n"/>
      <c r="D62" s="77" t="n"/>
      <c r="E62" s="77" t="n"/>
      <c r="F62" s="77" t="n"/>
    </row>
    <row r="63" ht="20" customHeight="1">
      <c r="A63" s="79" t="n"/>
      <c r="B63" s="77" t="n"/>
      <c r="C63" s="79" t="n"/>
      <c r="D63" s="77" t="n"/>
      <c r="E63" s="77" t="n"/>
      <c r="F63" s="77" t="n"/>
    </row>
    <row r="64" ht="20" customHeight="1">
      <c r="A64" s="80" t="n"/>
      <c r="B64" s="77" t="n"/>
      <c r="C64" s="80" t="n"/>
      <c r="D64" s="77" t="n"/>
      <c r="E64" s="77" t="n"/>
      <c r="F64" s="77" t="n"/>
    </row>
    <row r="65" ht="20" customHeight="1">
      <c r="A65" s="81" t="inlineStr">
        <is>
          <t>OBELAB</t>
        </is>
      </c>
      <c r="B65" s="83" t="n"/>
      <c r="C65" s="83" t="n"/>
      <c r="D65" s="83" t="n"/>
      <c r="E65" s="83" t="n"/>
      <c r="F65" s="83" t="n"/>
    </row>
    <row r="66" ht="20" customHeight="1">
      <c r="A66" s="79" t="n"/>
      <c r="B66" s="83" t="n"/>
      <c r="C66" s="79" t="n"/>
      <c r="D66" s="83" t="n"/>
      <c r="E66" s="83" t="n"/>
      <c r="F66" s="83" t="n"/>
    </row>
    <row r="67" ht="20" customHeight="1">
      <c r="A67" s="80" t="n"/>
      <c r="B67" s="83" t="n"/>
      <c r="C67" s="80" t="n"/>
      <c r="D67" s="83" t="n"/>
      <c r="E67" s="83" t="n"/>
      <c r="F67" s="83" t="n"/>
    </row>
    <row r="68" ht="20" customHeight="1">
      <c r="A68" s="75" t="inlineStr">
        <is>
          <t>Vtouch</t>
        </is>
      </c>
      <c r="B68" s="77" t="n"/>
      <c r="C68" s="77" t="n"/>
      <c r="D68" s="77" t="n"/>
      <c r="E68" s="77" t="n"/>
      <c r="F68" s="77" t="n"/>
    </row>
    <row r="69" ht="20" customHeight="1">
      <c r="A69" s="79" t="n"/>
      <c r="B69" s="77" t="n"/>
      <c r="C69" s="79" t="n"/>
      <c r="D69" s="77" t="n"/>
      <c r="E69" s="77" t="n"/>
      <c r="F69" s="77" t="n"/>
    </row>
    <row r="70" ht="20" customHeight="1">
      <c r="A70" s="80" t="n"/>
      <c r="B70" s="77" t="n"/>
      <c r="C70" s="80" t="n"/>
      <c r="D70" s="77" t="n"/>
      <c r="E70" s="77" t="n"/>
      <c r="F70" s="77" t="n"/>
    </row>
    <row r="71" ht="20" customHeight="1">
      <c r="A71" s="81" t="inlineStr">
        <is>
          <t>Ybrain</t>
        </is>
      </c>
      <c r="B71" s="83" t="n"/>
      <c r="C71" s="83" t="n"/>
      <c r="D71" s="83" t="n"/>
      <c r="E71" s="83" t="n"/>
      <c r="F71" s="83" t="n"/>
    </row>
    <row r="72" ht="20" customHeight="1">
      <c r="A72" s="79" t="n"/>
      <c r="B72" s="83" t="n"/>
      <c r="C72" s="79" t="n"/>
      <c r="D72" s="83" t="n"/>
      <c r="E72" s="83" t="n"/>
      <c r="F72" s="83" t="n"/>
    </row>
    <row r="73" ht="20" customHeight="1">
      <c r="A73" s="80" t="n"/>
      <c r="B73" s="83" t="n"/>
      <c r="C73" s="80" t="n"/>
      <c r="D73" s="83" t="n"/>
      <c r="E73" s="83" t="n"/>
      <c r="F73" s="83" t="n"/>
    </row>
    <row r="74" ht="20" customHeight="1">
      <c r="A74" s="75" t="inlineStr">
        <is>
          <t>iMediSync</t>
        </is>
      </c>
      <c r="B74" s="77" t="n"/>
      <c r="C74" s="77" t="n"/>
      <c r="D74" s="77" t="n"/>
      <c r="E74" s="77" t="n"/>
      <c r="F74" s="77" t="n"/>
    </row>
    <row r="75" ht="20" customHeight="1">
      <c r="A75" s="79" t="n"/>
      <c r="B75" s="77" t="n"/>
      <c r="C75" s="79" t="n"/>
      <c r="D75" s="77" t="n"/>
      <c r="E75" s="77" t="n"/>
      <c r="F75" s="77" t="n"/>
    </row>
    <row r="76" ht="20" customHeight="1">
      <c r="A76" s="80" t="n"/>
      <c r="B76" s="77" t="n"/>
      <c r="C76" s="80" t="n"/>
      <c r="D76" s="77" t="n"/>
      <c r="E76" s="77" t="n"/>
      <c r="F76" s="77" t="n"/>
    </row>
    <row r="77" ht="20" customHeight="1">
      <c r="A77" s="81" t="inlineStr">
        <is>
          <t>Hyundai Motor (Robotics / HMI Lab)</t>
        </is>
      </c>
      <c r="B77" s="83" t="n"/>
      <c r="C77" s="83" t="n"/>
      <c r="D77" s="83" t="n"/>
      <c r="E77" s="83" t="n"/>
      <c r="F77" s="83" t="n"/>
    </row>
    <row r="78" ht="20" customHeight="1">
      <c r="A78" s="79" t="n"/>
      <c r="B78" s="83" t="n"/>
      <c r="C78" s="79" t="n"/>
      <c r="D78" s="83" t="n"/>
      <c r="E78" s="83" t="n"/>
      <c r="F78" s="83" t="n"/>
    </row>
    <row r="79" ht="20" customHeight="1">
      <c r="A79" s="80" t="n"/>
      <c r="B79" s="83" t="n"/>
      <c r="C79" s="80" t="n"/>
      <c r="D79" s="83" t="n"/>
      <c r="E79" s="83" t="n"/>
      <c r="F79" s="83" t="n"/>
    </row>
    <row r="80" ht="20" customHeight="1">
      <c r="A80" s="75" t="inlineStr">
        <is>
          <t>NAVER Labs</t>
        </is>
      </c>
      <c r="B80" s="77" t="n"/>
      <c r="C80" s="77" t="n"/>
      <c r="D80" s="77" t="n"/>
      <c r="E80" s="77" t="n"/>
      <c r="F80" s="77" t="n"/>
    </row>
    <row r="81" ht="20" customHeight="1">
      <c r="A81" s="79" t="n"/>
      <c r="B81" s="77" t="n"/>
      <c r="C81" s="79" t="n"/>
      <c r="D81" s="77" t="n"/>
      <c r="E81" s="77" t="n"/>
      <c r="F81" s="77" t="n"/>
    </row>
    <row r="82" ht="20" customHeight="1">
      <c r="A82" s="80" t="n"/>
      <c r="B82" s="77" t="n"/>
      <c r="C82" s="80" t="n"/>
      <c r="D82" s="77" t="n"/>
      <c r="E82" s="77" t="n"/>
      <c r="F82" s="77" t="n"/>
    </row>
    <row r="83" ht="20" customHeight="1">
      <c r="A83" s="81" t="inlineStr">
        <is>
          <t>Samsung Electronics (MX / Research)</t>
        </is>
      </c>
      <c r="B83" s="83" t="n"/>
      <c r="C83" s="83" t="n"/>
      <c r="D83" s="83" t="n"/>
      <c r="E83" s="83" t="n"/>
      <c r="F83" s="83" t="n"/>
    </row>
    <row r="84" ht="20" customHeight="1">
      <c r="A84" s="79" t="n"/>
      <c r="B84" s="83" t="n"/>
      <c r="C84" s="79" t="n"/>
      <c r="D84" s="83" t="n"/>
      <c r="E84" s="83" t="n"/>
      <c r="F84" s="83" t="n"/>
    </row>
    <row r="85" ht="20" customHeight="1">
      <c r="A85" s="80" t="n"/>
      <c r="B85" s="83" t="n"/>
      <c r="C85" s="80" t="n"/>
      <c r="D85" s="83" t="n"/>
      <c r="E85" s="83" t="n"/>
      <c r="F85" s="83" t="n"/>
    </row>
  </sheetData>
  <autoFilter ref="A1:K85"/>
  <mergeCells count="56">
    <mergeCell ref="C56:C58"/>
    <mergeCell ref="A8:A10"/>
    <mergeCell ref="A26:A28"/>
    <mergeCell ref="A2:A4"/>
    <mergeCell ref="A17:A19"/>
    <mergeCell ref="C2:C4"/>
    <mergeCell ref="C17:C19"/>
    <mergeCell ref="A20:A22"/>
    <mergeCell ref="C11:C13"/>
    <mergeCell ref="A29:A31"/>
    <mergeCell ref="A47:A49"/>
    <mergeCell ref="A5:A7"/>
    <mergeCell ref="A23:A25"/>
    <mergeCell ref="A32:A34"/>
    <mergeCell ref="A38:A40"/>
    <mergeCell ref="C23:C25"/>
    <mergeCell ref="C32:C34"/>
    <mergeCell ref="A14:A16"/>
    <mergeCell ref="C77:C79"/>
    <mergeCell ref="C38:C40"/>
    <mergeCell ref="A68:A70"/>
    <mergeCell ref="A62:A64"/>
    <mergeCell ref="A44:A46"/>
    <mergeCell ref="A53:A55"/>
    <mergeCell ref="A59:A61"/>
    <mergeCell ref="A35:A37"/>
    <mergeCell ref="C53:C55"/>
    <mergeCell ref="C80:C82"/>
    <mergeCell ref="A77:A79"/>
    <mergeCell ref="C68:C70"/>
    <mergeCell ref="C62:C64"/>
    <mergeCell ref="C74:C76"/>
    <mergeCell ref="A83:A85"/>
    <mergeCell ref="C83:C85"/>
    <mergeCell ref="C20:C22"/>
    <mergeCell ref="C14:C16"/>
    <mergeCell ref="A11:A13"/>
    <mergeCell ref="C29:C31"/>
    <mergeCell ref="C5:C7"/>
    <mergeCell ref="A65:A67"/>
    <mergeCell ref="A41:A43"/>
    <mergeCell ref="C41:C43"/>
    <mergeCell ref="A50:A52"/>
    <mergeCell ref="C35:C37"/>
    <mergeCell ref="C50:C52"/>
    <mergeCell ref="C26:C28"/>
    <mergeCell ref="C44:C46"/>
    <mergeCell ref="C59:C61"/>
    <mergeCell ref="A74:A76"/>
    <mergeCell ref="C65:C67"/>
    <mergeCell ref="C47:C49"/>
    <mergeCell ref="A80:A82"/>
    <mergeCell ref="A71:A73"/>
    <mergeCell ref="C8:C10"/>
    <mergeCell ref="C71:C73"/>
    <mergeCell ref="A56:A58"/>
  </mergeCells>
  <dataValidations count="1">
    <dataValidation sqref="G2:G85" showDropDown="0" showInputMessage="0" showErrorMessage="0" allowBlank="1" type="list">
      <formula1>"VERIFIED_VALID,PENDING,UNVERIFIED"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D3" r:id="rId3"/>
    <hyperlink xmlns:r="http://schemas.openxmlformats.org/officeDocument/2006/relationships" ref="D4" r:id="rId4"/>
    <hyperlink xmlns:r="http://schemas.openxmlformats.org/officeDocument/2006/relationships" ref="B5" r:id="rId5"/>
    <hyperlink xmlns:r="http://schemas.openxmlformats.org/officeDocument/2006/relationships" ref="D5" r:id="rId6"/>
    <hyperlink xmlns:r="http://schemas.openxmlformats.org/officeDocument/2006/relationships" ref="E5" display="viren@google.com" r:id="rId7"/>
    <hyperlink xmlns:r="http://schemas.openxmlformats.org/officeDocument/2006/relationships" ref="D6" r:id="rId8"/>
    <hyperlink xmlns:r="http://schemas.openxmlformats.org/officeDocument/2006/relationships" ref="D7" r:id="rId9"/>
    <hyperlink xmlns:r="http://schemas.openxmlformats.org/officeDocument/2006/relationships" ref="B8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display="stachenfeld@google.com" r:id="rId14"/>
    <hyperlink xmlns:r="http://schemas.openxmlformats.org/officeDocument/2006/relationships" ref="D10" r:id="rId15"/>
    <hyperlink xmlns:r="http://schemas.openxmlformats.org/officeDocument/2006/relationships" ref="E10" display="abanino@google.com" r:id="rId16"/>
    <hyperlink xmlns:r="http://schemas.openxmlformats.org/officeDocument/2006/relationships" ref="B11" r:id="rId17"/>
    <hyperlink xmlns:r="http://schemas.openxmlformats.org/officeDocument/2006/relationships" ref="D11" r:id="rId18"/>
    <hyperlink xmlns:r="http://schemas.openxmlformats.org/officeDocument/2006/relationships" ref="E11" display="d.farina@imperial.ac.uk" r:id="rId19"/>
    <hyperlink xmlns:r="http://schemas.openxmlformats.org/officeDocument/2006/relationships" ref="D12" r:id="rId20"/>
    <hyperlink xmlns:r="http://schemas.openxmlformats.org/officeDocument/2006/relationships" ref="D13" r:id="rId21"/>
    <hyperlink xmlns:r="http://schemas.openxmlformats.org/officeDocument/2006/relationships" ref="B14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display="dimitra.emmanouilidou@microsoft.com" r:id="rId26"/>
    <hyperlink xmlns:r="http://schemas.openxmlformats.org/officeDocument/2006/relationships" ref="D16" r:id="rId27"/>
    <hyperlink xmlns:r="http://schemas.openxmlformats.org/officeDocument/2006/relationships" ref="E16" display="awilson@microsoft.com" r:id="rId28"/>
    <hyperlink xmlns:r="http://schemas.openxmlformats.org/officeDocument/2006/relationships" ref="B17" r:id="rId29"/>
    <hyperlink xmlns:r="http://schemas.openxmlformats.org/officeDocument/2006/relationships" ref="D17" r:id="rId30"/>
    <hyperlink xmlns:r="http://schemas.openxmlformats.org/officeDocument/2006/relationships" ref="E17" display="s.venieris@samsung.com" r:id="rId31"/>
    <hyperlink xmlns:r="http://schemas.openxmlformats.org/officeDocument/2006/relationships" ref="D18" r:id="rId32"/>
    <hyperlink xmlns:r="http://schemas.openxmlformats.org/officeDocument/2006/relationships" ref="E18" display="young.kwon@samsung.com" r:id="rId33"/>
    <hyperlink xmlns:r="http://schemas.openxmlformats.org/officeDocument/2006/relationships" ref="D19" r:id="rId34"/>
    <hyperlink xmlns:r="http://schemas.openxmlformats.org/officeDocument/2006/relationships" ref="E19" display="g.tzimiropoulos@qmul.ac.uk" r:id="rId35"/>
    <hyperlink xmlns:r="http://schemas.openxmlformats.org/officeDocument/2006/relationships" ref="B20" r:id="rId36"/>
    <hyperlink xmlns:r="http://schemas.openxmlformats.org/officeDocument/2006/relationships" ref="D20" r:id="rId37"/>
    <hyperlink xmlns:r="http://schemas.openxmlformats.org/officeDocument/2006/relationships" ref="D21" r:id="rId38"/>
    <hyperlink xmlns:r="http://schemas.openxmlformats.org/officeDocument/2006/relationships" ref="D22" r:id="rId39"/>
    <hyperlink xmlns:r="http://schemas.openxmlformats.org/officeDocument/2006/relationships" ref="B23" r:id="rId40"/>
    <hyperlink xmlns:r="http://schemas.openxmlformats.org/officeDocument/2006/relationships" ref="D23" r:id="rId41"/>
    <hyperlink xmlns:r="http://schemas.openxmlformats.org/officeDocument/2006/relationships" ref="D24" r:id="rId42"/>
    <hyperlink xmlns:r="http://schemas.openxmlformats.org/officeDocument/2006/relationships" ref="D25" r:id="rId43"/>
    <hyperlink xmlns:r="http://schemas.openxmlformats.org/officeDocument/2006/relationships" ref="C26" r:id="rId44"/>
    <hyperlink xmlns:r="http://schemas.openxmlformats.org/officeDocument/2006/relationships" ref="E26" r:id="rId45"/>
    <hyperlink xmlns:r="http://schemas.openxmlformats.org/officeDocument/2006/relationships" ref="E27" r:id="rId46"/>
    <hyperlink xmlns:r="http://schemas.openxmlformats.org/officeDocument/2006/relationships" ref="E28" r:id="rId47"/>
    <hyperlink xmlns:r="http://schemas.openxmlformats.org/officeDocument/2006/relationships" ref="C29" r:id="rId48"/>
    <hyperlink xmlns:r="http://schemas.openxmlformats.org/officeDocument/2006/relationships" ref="E29" r:id="rId49"/>
    <hyperlink xmlns:r="http://schemas.openxmlformats.org/officeDocument/2006/relationships" ref="E30" r:id="rId50"/>
    <hyperlink xmlns:r="http://schemas.openxmlformats.org/officeDocument/2006/relationships" ref="E31" r:id="rId51"/>
    <hyperlink xmlns:r="http://schemas.openxmlformats.org/officeDocument/2006/relationships" ref="C32" r:id="rId52"/>
    <hyperlink xmlns:r="http://schemas.openxmlformats.org/officeDocument/2006/relationships" ref="E32" r:id="rId53"/>
    <hyperlink xmlns:r="http://schemas.openxmlformats.org/officeDocument/2006/relationships" ref="E33" r:id="rId54"/>
    <hyperlink xmlns:r="http://schemas.openxmlformats.org/officeDocument/2006/relationships" ref="E34" r:id="rId55"/>
    <hyperlink xmlns:r="http://schemas.openxmlformats.org/officeDocument/2006/relationships" ref="C35" r:id="rId56"/>
    <hyperlink xmlns:r="http://schemas.openxmlformats.org/officeDocument/2006/relationships" ref="E35" r:id="rId57"/>
    <hyperlink xmlns:r="http://schemas.openxmlformats.org/officeDocument/2006/relationships" ref="E36" r:id="rId58"/>
    <hyperlink xmlns:r="http://schemas.openxmlformats.org/officeDocument/2006/relationships" ref="E37" r:id="rId59"/>
    <hyperlink xmlns:r="http://schemas.openxmlformats.org/officeDocument/2006/relationships" ref="C38" r:id="rId60"/>
    <hyperlink xmlns:r="http://schemas.openxmlformats.org/officeDocument/2006/relationships" ref="E38" r:id="rId61"/>
    <hyperlink xmlns:r="http://schemas.openxmlformats.org/officeDocument/2006/relationships" ref="E39" r:id="rId62"/>
    <hyperlink xmlns:r="http://schemas.openxmlformats.org/officeDocument/2006/relationships" ref="E40" r:id="rId63"/>
    <hyperlink xmlns:r="http://schemas.openxmlformats.org/officeDocument/2006/relationships" ref="C41" r:id="rId64"/>
    <hyperlink xmlns:r="http://schemas.openxmlformats.org/officeDocument/2006/relationships" ref="E41" r:id="rId65"/>
    <hyperlink xmlns:r="http://schemas.openxmlformats.org/officeDocument/2006/relationships" ref="E42" r:id="rId66"/>
    <hyperlink xmlns:r="http://schemas.openxmlformats.org/officeDocument/2006/relationships" ref="E43" r:id="rId67"/>
    <hyperlink xmlns:r="http://schemas.openxmlformats.org/officeDocument/2006/relationships" ref="C44" r:id="rId68"/>
    <hyperlink xmlns:r="http://schemas.openxmlformats.org/officeDocument/2006/relationships" ref="E44" r:id="rId69"/>
    <hyperlink xmlns:r="http://schemas.openxmlformats.org/officeDocument/2006/relationships" ref="E45" r:id="rId70"/>
    <hyperlink xmlns:r="http://schemas.openxmlformats.org/officeDocument/2006/relationships" ref="E46" r:id="rId71"/>
    <hyperlink xmlns:r="http://schemas.openxmlformats.org/officeDocument/2006/relationships" ref="C47" r:id="rId72"/>
    <hyperlink xmlns:r="http://schemas.openxmlformats.org/officeDocument/2006/relationships" ref="E47" r:id="rId73"/>
    <hyperlink xmlns:r="http://schemas.openxmlformats.org/officeDocument/2006/relationships" ref="E48" r:id="rId74"/>
    <hyperlink xmlns:r="http://schemas.openxmlformats.org/officeDocument/2006/relationships" ref="E49" r:id="rId75"/>
    <hyperlink xmlns:r="http://schemas.openxmlformats.org/officeDocument/2006/relationships" ref="C50" r:id="rId76"/>
    <hyperlink xmlns:r="http://schemas.openxmlformats.org/officeDocument/2006/relationships" ref="E50" r:id="rId77"/>
    <hyperlink xmlns:r="http://schemas.openxmlformats.org/officeDocument/2006/relationships" ref="E51" r:id="rId78"/>
    <hyperlink xmlns:r="http://schemas.openxmlformats.org/officeDocument/2006/relationships" ref="E52" r:id="rId79"/>
    <hyperlink xmlns:r="http://schemas.openxmlformats.org/officeDocument/2006/relationships" ref="C53" r:id="rId80"/>
    <hyperlink xmlns:r="http://schemas.openxmlformats.org/officeDocument/2006/relationships" ref="E53" r:id="rId81"/>
    <hyperlink xmlns:r="http://schemas.openxmlformats.org/officeDocument/2006/relationships" ref="E54" r:id="rId82"/>
    <hyperlink xmlns:r="http://schemas.openxmlformats.org/officeDocument/2006/relationships" ref="E55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2026-09-18T23:21:45Z</dcterms:created>
  <dcterms:modified xmlns:dcterms="http://purl.org/dc/terms/" xmlns:xsi="http://www.w3.org/2001/XMLSchema-instance" xsi:type="dcterms:W3CDTF">2026-09-19T00:44:23Z</dcterms:modified>
</cp:coreProperties>
</file>