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.CEO_Executive_Dashboard" sheetId="1" state="visible" r:id="rId1"/>
    <sheet xmlns:r="http://schemas.openxmlformats.org/officeDocument/2006/relationships" name="1.Global_BCI_Map" sheetId="2" state="visible" r:id="rId2"/>
    <sheet xmlns:r="http://schemas.openxmlformats.org/officeDocument/2006/relationships" name="2.Research_Database" sheetId="3" state="visible" r:id="rId3"/>
    <sheet xmlns:r="http://schemas.openxmlformats.org/officeDocument/2006/relationships" name="3.Global_BCI_Filtered" sheetId="4" state="visible" r:id="rId4"/>
    <sheet xmlns:r="http://schemas.openxmlformats.org/officeDocument/2006/relationships" name="4.UK_Target_Master" sheetId="5" state="visible" r:id="rId5"/>
    <sheet xmlns:r="http://schemas.openxmlformats.org/officeDocument/2006/relationships" name="5.UK_Trackr_Tech" sheetId="6" state="visible" r:id="rId6"/>
    <sheet xmlns:r="http://schemas.openxmlformats.org/officeDocument/2006/relationships" name="6.UK_Trackr_Finance" sheetId="7" state="visible" r:id="rId7"/>
    <sheet xmlns:r="http://schemas.openxmlformats.org/officeDocument/2006/relationships" name="7.KR_통합일정_타임라인" sheetId="8" state="visible" r:id="rId8"/>
    <sheet xmlns:r="http://schemas.openxmlformats.org/officeDocument/2006/relationships" name="8.KR_종합요약_우선순위" sheetId="9" state="visible" r:id="rId9"/>
    <sheet xmlns:r="http://schemas.openxmlformats.org/officeDocument/2006/relationships" name="9.KR_EEG_BCI_연구실" sheetId="10" state="visible" r:id="rId10"/>
    <sheet xmlns:r="http://schemas.openxmlformats.org/officeDocument/2006/relationships" name="10.KR_데이터사이언스_DA" sheetId="11" state="visible" r:id="rId11"/>
    <sheet xmlns:r="http://schemas.openxmlformats.org/officeDocument/2006/relationships" name="11.KR_전략컨설팅_RA" sheetId="12" state="visible" r:id="rId12"/>
    <sheet xmlns:r="http://schemas.openxmlformats.org/officeDocument/2006/relationships" name="12.KR_대기업_해외대하계" sheetId="13" state="visible" r:id="rId13"/>
    <sheet xmlns:r="http://schemas.openxmlformats.org/officeDocument/2006/relationships" name="13.KR_외국계금융_IB" sheetId="14" state="visible" r:id="rId14"/>
    <sheet xmlns:r="http://schemas.openxmlformats.org/officeDocument/2006/relationships" name="14.KR_AI_Agent_LLM" sheetId="15" state="visible" r:id="rId15"/>
    <sheet xmlns:r="http://schemas.openxmlformats.org/officeDocument/2006/relationships" name="15.UK_Overview_Dashboard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E1F2"/>
      <sz val="10"/>
    </font>
    <font>
      <name val="Calibri"/>
      <b val="1"/>
      <color rgb="00FFFFFF"/>
      <sz val="12"/>
    </font>
    <font>
      <name val="Calibri"/>
      <b val="1"/>
      <color rgb="00595959"/>
      <sz val="9"/>
    </font>
    <font>
      <name val="Calibri"/>
      <b val="1"/>
      <color rgb="001F4E79"/>
      <sz val="18"/>
    </font>
    <font>
      <name val="Calibri"/>
      <i val="1"/>
      <color rgb="00595959"/>
      <sz val="8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0563C1"/>
      <sz val="10"/>
      <u val="single"/>
    </font>
    <font>
      <name val="Calibri"/>
      <b val="1"/>
      <color rgb="FFFFFFFF"/>
      <sz val="11"/>
    </font>
    <font>
      <name val="Calibri"/>
      <family val="2"/>
      <color rgb="FF0070C0"/>
      <sz val="11"/>
      <u val="single"/>
      <scheme val="minor"/>
    </font>
    <font>
      <name val="Calibri"/>
      <color rgb="FF0000FF"/>
      <sz val="10"/>
      <u val="single"/>
    </font>
    <font>
      <name val="Calibri"/>
      <family val="2"/>
      <b val="1"/>
      <color rgb="FFFFFFFF"/>
      <sz val="11"/>
    </font>
    <font>
      <name val="Calibri"/>
      <b val="1"/>
      <color rgb="FF2C3E50"/>
      <sz val="11"/>
    </font>
    <font>
      <name val="Calibri"/>
      <color rgb="FF0000FF"/>
      <sz val="11"/>
      <u val="single"/>
    </font>
    <font>
      <name val="Calibri"/>
      <color rgb="FF000000"/>
      <sz val="11"/>
    </font>
    <font>
      <name val="Calibri"/>
      <family val="2"/>
      <color rgb="FF0070C0"/>
      <sz val="11"/>
      <u val="single"/>
    </font>
    <font>
      <name val="Segoe UI"/>
      <b val="1"/>
      <color rgb="00FFFFFF"/>
      <sz val="10"/>
    </font>
    <font>
      <name val="Segoe UI"/>
      <b val="1"/>
      <sz val="10"/>
    </font>
    <font>
      <name val="Segoe UI"/>
      <sz val="9"/>
    </font>
    <font>
      <name val="Segoe UI"/>
      <color rgb="000000EE"/>
      <sz val="9"/>
      <u val="single"/>
    </font>
    <font>
      <name val="Malgun Gothic"/>
      <b val="1"/>
      <color rgb="00FFFFFF"/>
      <sz val="11"/>
    </font>
    <font>
      <name val="Malgun Gothic"/>
      <b val="1"/>
      <sz val="10"/>
    </font>
    <font>
      <name val="Malgun Gothic"/>
      <sz val="10"/>
    </font>
    <font>
      <name val="Malgun Gothic"/>
      <color rgb="00595959"/>
      <sz val="10"/>
    </font>
    <font>
      <name val="Malgun Gothic"/>
      <b val="1"/>
      <color rgb="00B81D13"/>
      <sz val="10"/>
    </font>
    <font>
      <name val="Malgun Gothic"/>
      <color rgb="000056B3"/>
      <sz val="10"/>
      <u val="single"/>
    </font>
    <font>
      <name val="Malgun Gothic"/>
      <b val="1"/>
      <color rgb="00C53030"/>
      <sz val="10"/>
    </font>
    <font>
      <name val="Malgun Gothic"/>
      <color rgb="00004B87"/>
      <sz val="10"/>
      <u val="single"/>
    </font>
    <font>
      <name val="Malgun Gothic"/>
      <b val="1"/>
      <color rgb="0022543D"/>
      <sz val="10"/>
    </font>
    <font>
      <name val="Segoe UI"/>
      <b val="1"/>
      <color rgb="001B365D"/>
      <sz val="14"/>
    </font>
    <font>
      <name val="Segoe UI"/>
      <i val="1"/>
      <color rgb="00555555"/>
      <sz val="10"/>
    </font>
    <font>
      <name val="Segoe UI"/>
      <i val="1"/>
      <color rgb="00C0392B"/>
      <sz val="9"/>
    </font>
    <font>
      <name val="Segoe UI"/>
      <b val="1"/>
      <color rgb="001B365D"/>
      <sz val="10"/>
    </font>
    <font>
      <name val="Segoe UI"/>
      <b val="1"/>
      <color rgb="000D47A1"/>
      <sz val="16"/>
    </font>
    <font>
      <name val="Segoe UI"/>
      <b val="1"/>
      <color rgb="00C0392B"/>
      <sz val="11"/>
    </font>
  </fonts>
  <fills count="3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C3E50"/>
        <bgColor rgb="002C3E50"/>
      </patternFill>
    </fill>
    <fill>
      <patternFill patternType="solid">
        <fgColor rgb="00F2F4F8"/>
        <bgColor rgb="00F2F4F8"/>
      </patternFill>
    </fill>
    <fill>
      <patternFill patternType="solid">
        <fgColor rgb="002F5597"/>
        <bgColor rgb="002F5597"/>
      </patternFill>
    </fill>
    <fill>
      <patternFill patternType="solid">
        <fgColor rgb="00D9E1F2"/>
        <bgColor rgb="00D9E1F2"/>
      </patternFill>
    </fill>
    <fill>
      <patternFill patternType="solid">
        <fgColor rgb="FF2C3E50"/>
        <bgColor rgb="FF2C3E50"/>
      </patternFill>
    </fill>
    <fill>
      <patternFill patternType="solid">
        <fgColor rgb="FFEBF5FB"/>
        <bgColor rgb="FFEBF5FB"/>
      </patternFill>
    </fill>
    <fill>
      <patternFill patternType="solid">
        <fgColor rgb="FFF5EEF8"/>
        <bgColor rgb="FFF5EEF8"/>
      </patternFill>
    </fill>
    <fill>
      <patternFill patternType="solid">
        <fgColor rgb="FFEAFAF1"/>
        <bgColor rgb="FFEAFAF1"/>
      </patternFill>
    </fill>
    <fill>
      <patternFill patternType="solid">
        <fgColor rgb="FFFEF5E7"/>
        <bgColor rgb="FFFEF5E7"/>
      </patternFill>
    </fill>
    <fill>
      <patternFill patternType="solid">
        <fgColor rgb="FFFCF3CF"/>
        <bgColor rgb="FFFCF3CF"/>
      </patternFill>
    </fill>
    <fill>
      <patternFill patternType="solid">
        <fgColor rgb="FF1F4E78"/>
        <bgColor rgb="FF1F4E78"/>
      </patternFill>
    </fill>
    <fill>
      <patternFill patternType="solid">
        <fgColor rgb="FFF8F9F9"/>
        <bgColor rgb="FFF8F9F9"/>
      </patternFill>
    </fill>
    <fill>
      <patternFill patternType="solid">
        <fgColor rgb="FFFFFFFF"/>
        <bgColor rgb="FFFFFFFF"/>
      </patternFill>
    </fill>
    <fill>
      <patternFill patternType="solid">
        <fgColor rgb="FF7B7D7D"/>
        <bgColor rgb="FF7B7D7D"/>
      </patternFill>
    </fill>
    <fill>
      <patternFill patternType="solid">
        <fgColor rgb="001B365D"/>
        <bgColor rgb="001B365D"/>
      </patternFill>
    </fill>
    <fill>
      <patternFill patternType="solid">
        <fgColor rgb="00E8F8F5"/>
        <bgColor rgb="00E8F8F5"/>
      </patternFill>
    </fill>
    <fill>
      <patternFill patternType="solid">
        <fgColor rgb="00EBF5FB"/>
        <bgColor rgb="00EBF5FB"/>
      </patternFill>
    </fill>
    <fill>
      <patternFill patternType="solid">
        <fgColor rgb="00FEF9E7"/>
        <bgColor rgb="00FEF9E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EDF5"/>
        <bgColor rgb="00EDEDF5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ED7D7"/>
        <bgColor rgb="00FED7D7"/>
      </patternFill>
    </fill>
    <fill>
      <patternFill patternType="solid">
        <fgColor rgb="00C6F6D5"/>
        <bgColor rgb="00C6F6D5"/>
      </patternFill>
    </fill>
    <fill>
      <patternFill patternType="solid">
        <fgColor rgb="00EAEDED"/>
        <bgColor rgb="00EAEDED"/>
      </patternFill>
    </fill>
    <fill>
      <patternFill patternType="solid">
        <fgColor rgb="00F4F6F6"/>
        <bgColor rgb="00F4F6F6"/>
      </patternFill>
    </fill>
    <fill>
      <patternFill patternType="solid">
        <fgColor rgb="00922B21"/>
        <bgColor rgb="00922B21"/>
      </patternFill>
    </fill>
    <fill>
      <patternFill patternType="solid">
        <fgColor rgb="00FDEDEC"/>
        <bgColor rgb="00FDEDEC"/>
      </patternFill>
    </fill>
  </fills>
  <borders count="9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FFD0D3D4"/>
      </left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0D3D4"/>
      </left>
      <right style="thin">
        <color rgb="FFD0D3D4"/>
      </right>
      <top/>
      <bottom/>
      <diagonal/>
    </border>
    <border>
      <left style="thin">
        <color rgb="FFD0D3D4"/>
      </left>
      <right style="thin">
        <color rgb="FFD0D3D4"/>
      </right>
      <top/>
      <bottom style="thin">
        <color rgb="FFD0D3D4"/>
      </bottom>
      <diagonal/>
    </border>
    <border>
      <left style="thin">
        <color rgb="FFD0D3D4"/>
      </left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11" fillId="7" borderId="2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left" vertical="center" wrapText="1"/>
    </xf>
    <xf numFmtId="0" fontId="0" fillId="8" borderId="2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center" vertical="center" wrapText="1"/>
    </xf>
    <xf numFmtId="0" fontId="13" fillId="8" borderId="2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left" vertical="center" wrapText="1"/>
    </xf>
    <xf numFmtId="0" fontId="0" fillId="9" borderId="2" applyAlignment="1" pivotButton="0" quotePrefix="0" xfId="0">
      <alignment horizontal="center" vertical="center" wrapText="1"/>
    </xf>
    <xf numFmtId="0" fontId="13" fillId="9" borderId="2" applyAlignment="1" pivotButton="0" quotePrefix="0" xfId="0">
      <alignment horizontal="center" vertical="center" wrapText="1"/>
    </xf>
    <xf numFmtId="0" fontId="0" fillId="10" borderId="2" applyAlignment="1" pivotButton="0" quotePrefix="0" xfId="0">
      <alignment horizontal="left" vertical="center" wrapText="1"/>
    </xf>
    <xf numFmtId="0" fontId="0" fillId="10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 wrapText="1"/>
    </xf>
    <xf numFmtId="0" fontId="0" fillId="11" borderId="2" applyAlignment="1" pivotButton="0" quotePrefix="0" xfId="0">
      <alignment horizontal="left" vertical="center" wrapText="1"/>
    </xf>
    <xf numFmtId="0" fontId="0" fillId="11" borderId="2" applyAlignment="1" pivotButton="0" quotePrefix="0" xfId="0">
      <alignment horizontal="center" vertical="center" wrapText="1"/>
    </xf>
    <xf numFmtId="0" fontId="13" fillId="11" borderId="2" applyAlignment="1" pivotButton="0" quotePrefix="0" xfId="0">
      <alignment horizontal="center" vertical="center" wrapText="1"/>
    </xf>
    <xf numFmtId="0" fontId="0" fillId="12" borderId="2" applyAlignment="1" pivotButton="0" quotePrefix="0" xfId="0">
      <alignment horizontal="left" vertical="center" wrapText="1"/>
    </xf>
    <xf numFmtId="0" fontId="0" fillId="12" borderId="2" applyAlignment="1" pivotButton="0" quotePrefix="0" xfId="0">
      <alignment horizontal="center" vertical="center" wrapText="1"/>
    </xf>
    <xf numFmtId="0" fontId="13" fillId="12" borderId="2" applyAlignment="1" pivotButton="0" quotePrefix="0" xfId="0">
      <alignment horizontal="center" vertical="center" wrapText="1"/>
    </xf>
    <xf numFmtId="0" fontId="14" fillId="13" borderId="2" applyAlignment="1" pivotButton="0" quotePrefix="0" xfId="0">
      <alignment horizontal="center" vertical="center" wrapText="1"/>
    </xf>
    <xf numFmtId="0" fontId="15" fillId="14" borderId="2" applyAlignment="1" pivotButton="0" quotePrefix="0" xfId="0">
      <alignment horizontal="center" vertical="center" wrapText="1"/>
    </xf>
    <xf numFmtId="0" fontId="16" fillId="14" borderId="2" applyAlignment="1" pivotButton="0" quotePrefix="0" xfId="0">
      <alignment horizontal="left" vertical="center" wrapText="1"/>
    </xf>
    <xf numFmtId="0" fontId="0" fillId="14" borderId="2" applyAlignment="1" pivotButton="0" quotePrefix="0" xfId="0">
      <alignment horizontal="left" vertical="center" wrapText="1"/>
    </xf>
    <xf numFmtId="0" fontId="17" fillId="14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15" fillId="15" borderId="2" applyAlignment="1" pivotButton="0" quotePrefix="0" xfId="0">
      <alignment horizontal="center" vertical="center" wrapText="1"/>
    </xf>
    <xf numFmtId="0" fontId="16" fillId="15" borderId="2" applyAlignment="1" pivotButton="0" quotePrefix="0" xfId="0">
      <alignment horizontal="left" vertical="center" wrapText="1"/>
    </xf>
    <xf numFmtId="0" fontId="0" fillId="15" borderId="2" applyAlignment="1" pivotButton="0" quotePrefix="0" xfId="0">
      <alignment horizontal="left" vertical="center" wrapText="1"/>
    </xf>
    <xf numFmtId="0" fontId="18" fillId="15" borderId="2" applyAlignment="1" pivotButton="0" quotePrefix="0" xfId="0">
      <alignment horizontal="left" vertical="center" wrapText="1"/>
    </xf>
    <xf numFmtId="0" fontId="18" fillId="14" borderId="2" applyAlignment="1" pivotButton="0" quotePrefix="0" xfId="0">
      <alignment horizontal="left" vertical="center" wrapText="1"/>
    </xf>
    <xf numFmtId="0" fontId="17" fillId="15" borderId="2" applyAlignment="1" pivotButton="0" quotePrefix="0" xfId="0">
      <alignment horizontal="left" vertical="center" wrapText="1"/>
    </xf>
    <xf numFmtId="0" fontId="12" fillId="14" borderId="2" applyAlignment="1" pivotButton="0" quotePrefix="0" xfId="0">
      <alignment horizontal="left" vertical="center" wrapText="1"/>
    </xf>
    <xf numFmtId="0" fontId="12" fillId="15" borderId="2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center" vertical="center" wrapText="1"/>
    </xf>
    <xf numFmtId="0" fontId="19" fillId="17" borderId="6" applyAlignment="1" pivotButton="0" quotePrefix="0" xfId="0">
      <alignment horizontal="center" vertical="center" wrapText="1"/>
    </xf>
    <xf numFmtId="0" fontId="20" fillId="18" borderId="6" applyAlignment="1" pivotButton="0" quotePrefix="0" xfId="0">
      <alignment horizontal="center" vertical="center"/>
    </xf>
    <xf numFmtId="0" fontId="21" fillId="18" borderId="6" applyAlignment="1" pivotButton="0" quotePrefix="0" xfId="0">
      <alignment horizontal="left" vertical="center"/>
    </xf>
    <xf numFmtId="0" fontId="21" fillId="18" borderId="6" applyAlignment="1" pivotButton="0" quotePrefix="0" xfId="0">
      <alignment horizontal="left" vertical="center" wrapText="1"/>
    </xf>
    <xf numFmtId="0" fontId="20" fillId="18" borderId="6" applyAlignment="1" pivotButton="0" quotePrefix="0" xfId="0">
      <alignment horizontal="center" vertical="center" wrapText="1"/>
    </xf>
    <xf numFmtId="0" fontId="21" fillId="18" borderId="6" applyAlignment="1" pivotButton="0" quotePrefix="0" xfId="0">
      <alignment horizontal="center" vertical="center"/>
    </xf>
    <xf numFmtId="0" fontId="22" fillId="18" borderId="6" applyAlignment="1" pivotButton="0" quotePrefix="0" xfId="0">
      <alignment horizontal="center" vertical="center"/>
    </xf>
    <xf numFmtId="0" fontId="20" fillId="19" borderId="6" applyAlignment="1" pivotButton="0" quotePrefix="0" xfId="0">
      <alignment horizontal="center" vertical="center"/>
    </xf>
    <xf numFmtId="0" fontId="21" fillId="19" borderId="6" applyAlignment="1" pivotButton="0" quotePrefix="0" xfId="0">
      <alignment horizontal="left" vertical="center"/>
    </xf>
    <xf numFmtId="0" fontId="21" fillId="19" borderId="6" applyAlignment="1" pivotButton="0" quotePrefix="0" xfId="0">
      <alignment horizontal="left" vertical="center" wrapText="1"/>
    </xf>
    <xf numFmtId="0" fontId="21" fillId="19" borderId="6" applyAlignment="1" pivotButton="0" quotePrefix="0" xfId="0">
      <alignment horizontal="center" vertical="center" wrapText="1"/>
    </xf>
    <xf numFmtId="0" fontId="21" fillId="19" borderId="6" applyAlignment="1" pivotButton="0" quotePrefix="0" xfId="0">
      <alignment horizontal="center" vertical="center"/>
    </xf>
    <xf numFmtId="0" fontId="22" fillId="19" borderId="6" applyAlignment="1" pivotButton="0" quotePrefix="0" xfId="0">
      <alignment horizontal="center" vertical="center"/>
    </xf>
    <xf numFmtId="0" fontId="20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left" vertical="center"/>
    </xf>
    <xf numFmtId="0" fontId="21" fillId="20" borderId="6" applyAlignment="1" pivotButton="0" quotePrefix="0" xfId="0">
      <alignment horizontal="left" vertical="center" wrapText="1"/>
    </xf>
    <xf numFmtId="0" fontId="21" fillId="20" borderId="6" applyAlignment="1" pivotButton="0" quotePrefix="0" xfId="0">
      <alignment horizontal="center" vertical="center" wrapText="1"/>
    </xf>
    <xf numFmtId="0" fontId="21" fillId="20" borderId="6" applyAlignment="1" pivotButton="0" quotePrefix="0" xfId="0">
      <alignment horizontal="center" vertical="center"/>
    </xf>
    <xf numFmtId="0" fontId="22" fillId="20" borderId="6" applyAlignment="1" pivotButton="0" quotePrefix="0" xfId="0">
      <alignment horizontal="center" vertical="center"/>
    </xf>
    <xf numFmtId="0" fontId="19" fillId="3" borderId="6" applyAlignment="1" pivotButton="0" quotePrefix="0" xfId="0">
      <alignment horizontal="center" vertical="center"/>
    </xf>
    <xf numFmtId="0" fontId="21" fillId="0" borderId="6" applyAlignment="1" pivotButton="0" quotePrefix="0" xfId="0">
      <alignment horizontal="center" vertical="center"/>
    </xf>
    <xf numFmtId="0" fontId="21" fillId="0" borderId="6" applyAlignment="1" pivotButton="0" quotePrefix="0" xfId="0">
      <alignment horizontal="left" vertical="center"/>
    </xf>
    <xf numFmtId="0" fontId="22" fillId="0" borderId="6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 wrapText="1"/>
    </xf>
    <xf numFmtId="0" fontId="24" fillId="21" borderId="7" applyAlignment="1" pivotButton="0" quotePrefix="0" xfId="0">
      <alignment horizontal="center" vertical="center" wrapText="1"/>
    </xf>
    <xf numFmtId="0" fontId="25" fillId="21" borderId="7" applyAlignment="1" pivotButton="0" quotePrefix="0" xfId="0">
      <alignment horizontal="center" vertical="center" wrapText="1"/>
    </xf>
    <xf numFmtId="0" fontId="25" fillId="21" borderId="7" applyAlignment="1" pivotButton="0" quotePrefix="0" xfId="0">
      <alignment horizontal="left" vertical="center" wrapText="1"/>
    </xf>
    <xf numFmtId="0" fontId="26" fillId="21" borderId="7" applyAlignment="1" pivotButton="0" quotePrefix="0" xfId="0">
      <alignment horizontal="center" vertical="center" wrapText="1"/>
    </xf>
    <xf numFmtId="0" fontId="27" fillId="21" borderId="7" applyAlignment="1" pivotButton="0" quotePrefix="0" xfId="0">
      <alignment horizontal="center" vertical="center" wrapText="1"/>
    </xf>
    <xf numFmtId="0" fontId="28" fillId="21" borderId="7" applyAlignment="1" pivotButton="0" quotePrefix="0" xfId="0">
      <alignment horizontal="center" vertical="center"/>
    </xf>
    <xf numFmtId="0" fontId="24" fillId="22" borderId="7" applyAlignment="1" pivotButton="0" quotePrefix="0" xfId="0">
      <alignment horizontal="center" vertical="center" wrapText="1"/>
    </xf>
    <xf numFmtId="0" fontId="25" fillId="22" borderId="7" applyAlignment="1" pivotButton="0" quotePrefix="0" xfId="0">
      <alignment horizontal="center" vertical="center" wrapText="1"/>
    </xf>
    <xf numFmtId="0" fontId="25" fillId="22" borderId="7" applyAlignment="1" pivotButton="0" quotePrefix="0" xfId="0">
      <alignment horizontal="left" vertical="center" wrapText="1"/>
    </xf>
    <xf numFmtId="0" fontId="26" fillId="22" borderId="7" applyAlignment="1" pivotButton="0" quotePrefix="0" xfId="0">
      <alignment horizontal="center" vertical="center" wrapText="1"/>
    </xf>
    <xf numFmtId="0" fontId="27" fillId="22" borderId="7" applyAlignment="1" pivotButton="0" quotePrefix="0" xfId="0">
      <alignment horizontal="center" vertical="center" wrapText="1"/>
    </xf>
    <xf numFmtId="0" fontId="28" fillId="22" borderId="7" applyAlignment="1" pivotButton="0" quotePrefix="0" xfId="0">
      <alignment horizontal="center" vertical="center"/>
    </xf>
    <xf numFmtId="0" fontId="24" fillId="23" borderId="7" applyAlignment="1" pivotButton="0" quotePrefix="0" xfId="0">
      <alignment horizontal="center" vertical="center" wrapText="1"/>
    </xf>
    <xf numFmtId="0" fontId="25" fillId="23" borderId="7" applyAlignment="1" pivotButton="0" quotePrefix="0" xfId="0">
      <alignment horizontal="center" vertical="center" wrapText="1"/>
    </xf>
    <xf numFmtId="0" fontId="25" fillId="23" borderId="7" applyAlignment="1" pivotButton="0" quotePrefix="0" xfId="0">
      <alignment horizontal="left" vertical="center" wrapText="1"/>
    </xf>
    <xf numFmtId="0" fontId="26" fillId="23" borderId="7" applyAlignment="1" pivotButton="0" quotePrefix="0" xfId="0">
      <alignment horizontal="center" vertical="center" wrapText="1"/>
    </xf>
    <xf numFmtId="0" fontId="27" fillId="23" borderId="7" applyAlignment="1" pivotButton="0" quotePrefix="0" xfId="0">
      <alignment horizontal="center" vertical="center" wrapText="1"/>
    </xf>
    <xf numFmtId="0" fontId="28" fillId="23" borderId="7" applyAlignment="1" pivotButton="0" quotePrefix="0" xfId="0">
      <alignment horizontal="center" vertical="center"/>
    </xf>
    <xf numFmtId="0" fontId="24" fillId="24" borderId="7" applyAlignment="1" pivotButton="0" quotePrefix="0" xfId="0">
      <alignment horizontal="center" vertical="center" wrapText="1"/>
    </xf>
    <xf numFmtId="0" fontId="25" fillId="24" borderId="7" applyAlignment="1" pivotButton="0" quotePrefix="0" xfId="0">
      <alignment horizontal="center" vertical="center" wrapText="1"/>
    </xf>
    <xf numFmtId="0" fontId="25" fillId="24" borderId="7" applyAlignment="1" pivotButton="0" quotePrefix="0" xfId="0">
      <alignment horizontal="left" vertical="center" wrapText="1"/>
    </xf>
    <xf numFmtId="0" fontId="26" fillId="24" borderId="7" applyAlignment="1" pivotButton="0" quotePrefix="0" xfId="0">
      <alignment horizontal="center" vertical="center" wrapText="1"/>
    </xf>
    <xf numFmtId="0" fontId="27" fillId="24" borderId="7" applyAlignment="1" pivotButton="0" quotePrefix="0" xfId="0">
      <alignment horizontal="center" vertical="center" wrapText="1"/>
    </xf>
    <xf numFmtId="0" fontId="28" fillId="24" borderId="7" applyAlignment="1" pivotButton="0" quotePrefix="0" xfId="0">
      <alignment horizontal="center" vertical="center"/>
    </xf>
    <xf numFmtId="0" fontId="24" fillId="25" borderId="7" applyAlignment="1" pivotButton="0" quotePrefix="0" xfId="0">
      <alignment horizontal="center" vertical="center" wrapText="1"/>
    </xf>
    <xf numFmtId="0" fontId="25" fillId="25" borderId="7" applyAlignment="1" pivotButton="0" quotePrefix="0" xfId="0">
      <alignment horizontal="center" vertical="center" wrapText="1"/>
    </xf>
    <xf numFmtId="0" fontId="25" fillId="25" borderId="7" applyAlignment="1" pivotButton="0" quotePrefix="0" xfId="0">
      <alignment horizontal="left" vertical="center" wrapText="1"/>
    </xf>
    <xf numFmtId="0" fontId="26" fillId="25" borderId="7" applyAlignment="1" pivotButton="0" quotePrefix="0" xfId="0">
      <alignment horizontal="center" vertical="center" wrapText="1"/>
    </xf>
    <xf numFmtId="0" fontId="27" fillId="25" borderId="7" applyAlignment="1" pivotButton="0" quotePrefix="0" xfId="0">
      <alignment horizontal="center" vertical="center" wrapText="1"/>
    </xf>
    <xf numFmtId="0" fontId="28" fillId="25" borderId="7" applyAlignment="1" pivotButton="0" quotePrefix="0" xfId="0">
      <alignment horizontal="center" vertical="center"/>
    </xf>
    <xf numFmtId="0" fontId="24" fillId="26" borderId="7" applyAlignment="1" pivotButton="0" quotePrefix="0" xfId="0">
      <alignment horizontal="center" vertical="center" wrapText="1"/>
    </xf>
    <xf numFmtId="0" fontId="25" fillId="26" borderId="7" applyAlignment="1" pivotButton="0" quotePrefix="0" xfId="0">
      <alignment horizontal="center" vertical="center" wrapText="1"/>
    </xf>
    <xf numFmtId="0" fontId="25" fillId="26" borderId="7" applyAlignment="1" pivotButton="0" quotePrefix="0" xfId="0">
      <alignment horizontal="left" vertical="center" wrapText="1"/>
    </xf>
    <xf numFmtId="0" fontId="26" fillId="26" borderId="7" applyAlignment="1" pivotButton="0" quotePrefix="0" xfId="0">
      <alignment horizontal="center" vertical="center" wrapText="1"/>
    </xf>
    <xf numFmtId="0" fontId="27" fillId="26" borderId="7" applyAlignment="1" pivotButton="0" quotePrefix="0" xfId="0">
      <alignment horizontal="center" vertical="center" wrapText="1"/>
    </xf>
    <xf numFmtId="0" fontId="28" fillId="26" borderId="7" applyAlignment="1" pivotButton="0" quotePrefix="0" xfId="0">
      <alignment horizontal="center" vertical="center"/>
    </xf>
    <xf numFmtId="0" fontId="24" fillId="27" borderId="7" applyAlignment="1" pivotButton="0" quotePrefix="0" xfId="0">
      <alignment horizontal="center" vertical="center" wrapText="1"/>
    </xf>
    <xf numFmtId="0" fontId="25" fillId="27" borderId="7" applyAlignment="1" pivotButton="0" quotePrefix="0" xfId="0">
      <alignment horizontal="center" vertical="center" wrapText="1"/>
    </xf>
    <xf numFmtId="0" fontId="25" fillId="27" borderId="7" applyAlignment="1" pivotButton="0" quotePrefix="0" xfId="0">
      <alignment horizontal="left" vertical="center" wrapText="1"/>
    </xf>
    <xf numFmtId="0" fontId="26" fillId="27" borderId="7" applyAlignment="1" pivotButton="0" quotePrefix="0" xfId="0">
      <alignment horizontal="center" vertical="center" wrapText="1"/>
    </xf>
    <xf numFmtId="0" fontId="27" fillId="27" borderId="7" applyAlignment="1" pivotButton="0" quotePrefix="0" xfId="0">
      <alignment horizontal="center" vertical="center" wrapText="1"/>
    </xf>
    <xf numFmtId="0" fontId="28" fillId="27" borderId="7" applyAlignment="1" pivotButton="0" quotePrefix="0" xfId="0">
      <alignment horizontal="center" vertical="center"/>
    </xf>
    <xf numFmtId="0" fontId="23" fillId="17" borderId="8" applyAlignment="1" pivotButton="0" quotePrefix="0" xfId="0">
      <alignment horizontal="center" vertical="center" wrapText="1"/>
    </xf>
    <xf numFmtId="0" fontId="29" fillId="28" borderId="8" applyAlignment="1" pivotButton="0" quotePrefix="0" xfId="0">
      <alignment horizontal="center" vertical="center" wrapText="1"/>
    </xf>
    <xf numFmtId="0" fontId="25" fillId="0" borderId="8" applyAlignment="1" pivotButton="0" quotePrefix="0" xfId="0">
      <alignment horizontal="left" vertical="center" wrapText="1"/>
    </xf>
    <xf numFmtId="0" fontId="25" fillId="0" borderId="8" applyAlignment="1" pivotButton="0" quotePrefix="0" xfId="0">
      <alignment horizontal="center" vertical="center" wrapText="1"/>
    </xf>
    <xf numFmtId="0" fontId="30" fillId="0" borderId="8" applyAlignment="1" pivotButton="0" quotePrefix="0" xfId="0">
      <alignment horizontal="left" vertical="center" wrapText="1"/>
    </xf>
    <xf numFmtId="0" fontId="31" fillId="29" borderId="8" applyAlignment="1" pivotButton="0" quotePrefix="0" xfId="0">
      <alignment horizontal="center" vertical="center" wrapText="1"/>
    </xf>
    <xf numFmtId="0" fontId="31" fillId="29" borderId="8" applyAlignment="1" pivotButton="0" quotePrefix="0" xfId="0">
      <alignment horizontal="left" vertical="center" wrapText="1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30" borderId="0" applyAlignment="1" pivotButton="0" quotePrefix="0" xfId="0">
      <alignment horizontal="center" vertical="center"/>
    </xf>
    <xf numFmtId="0" fontId="36" fillId="31" borderId="0" applyAlignment="1" pivotButton="0" quotePrefix="0" xfId="0">
      <alignment horizontal="center" vertical="center"/>
    </xf>
    <xf numFmtId="0" fontId="37" fillId="0" borderId="0" pivotButton="0" quotePrefix="0" xfId="0"/>
    <xf numFmtId="0" fontId="19" fillId="32" borderId="6" applyAlignment="1" pivotButton="0" quotePrefix="0" xfId="0">
      <alignment horizontal="center" vertical="center"/>
    </xf>
    <xf numFmtId="0" fontId="21" fillId="33" borderId="6" applyAlignment="1" pivotButton="0" quotePrefix="0" xfId="0">
      <alignment horizontal="center" vertical="center"/>
    </xf>
    <xf numFmtId="0" fontId="21" fillId="33" borderId="6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apple.com/careers/us/students.html" TargetMode="External" Id="rId1"/><Relationship Type="http://schemas.openxmlformats.org/officeDocument/2006/relationships/hyperlink" Target="https://www.apple.com/careers/us/students.html" TargetMode="External" Id="rId2"/><Relationship Type="http://schemas.openxmlformats.org/officeDocument/2006/relationships/hyperlink" Target="https://careers.google.com/students/" TargetMode="External" Id="rId3"/><Relationship Type="http://schemas.openxmlformats.org/officeDocument/2006/relationships/hyperlink" Target="https://careers.google.com/students/" TargetMode="External" Id="rId4"/><Relationship Type="http://schemas.openxmlformats.org/officeDocument/2006/relationships/hyperlink" Target="https://deepmind.google/about/careers/" TargetMode="External" Id="rId5"/><Relationship Type="http://schemas.openxmlformats.org/officeDocument/2006/relationships/hyperlink" Target="https://deepmind.google/about/careers/" TargetMode="External" Id="rId6"/><Relationship Type="http://schemas.openxmlformats.org/officeDocument/2006/relationships/hyperlink" Target="https://www.metacareers.com/" TargetMode="External" Id="rId7"/><Relationship Type="http://schemas.openxmlformats.org/officeDocument/2006/relationships/hyperlink" Target="https://www.metacareers.com/" TargetMode="External" Id="rId8"/><Relationship Type="http://schemas.openxmlformats.org/officeDocument/2006/relationships/hyperlink" Target="https://careers.microsoft.com/students" TargetMode="External" Id="rId9"/><Relationship Type="http://schemas.openxmlformats.org/officeDocument/2006/relationships/hyperlink" Target="https://careers.microsoft.com/students" TargetMode="External" Id="rId10"/><Relationship Type="http://schemas.openxmlformats.org/officeDocument/2006/relationships/hyperlink" Target="https://samsung.wd1.myworkdayjobs.com/Samsung_Careers" TargetMode="External" Id="rId11"/><Relationship Type="http://schemas.openxmlformats.org/officeDocument/2006/relationships/hyperlink" Target="https://samsung.wd1.myworkdayjobs.com/Samsung_Careers" TargetMode="External" Id="rId12"/><Relationship Type="http://schemas.openxmlformats.org/officeDocument/2006/relationships/hyperlink" Target="https://www.snap.com/en-US/jobs" TargetMode="External" Id="rId13"/><Relationship Type="http://schemas.openxmlformats.org/officeDocument/2006/relationships/hyperlink" Target="https://www.snap.com/en-US/jobs" TargetMode="External" Id="rId14"/><Relationship Type="http://schemas.openxmlformats.org/officeDocument/2006/relationships/hyperlink" Target="https://careers.playstation.com/" TargetMode="External" Id="rId15"/><Relationship Type="http://schemas.openxmlformats.org/officeDocument/2006/relationships/hyperlink" Target="https://careers.playstation.com/" TargetMode="External" Id="rId1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pple.com/careers/us/students.html" TargetMode="External" Id="rId1"/><Relationship Type="http://schemas.openxmlformats.org/officeDocument/2006/relationships/hyperlink" Target="https://scholar.google.com/scholar?q=Andrew%20C.%20Miller" TargetMode="External" Id="rId2"/><Relationship Type="http://schemas.openxmlformats.org/officeDocument/2006/relationships/hyperlink" Target="https://scholar.google.com/scholar?q=Salar%20Abbaspourazad" TargetMode="External" Id="rId3"/><Relationship Type="http://schemas.openxmlformats.org/officeDocument/2006/relationships/hyperlink" Target="https://scholar.google.com/scholar?q=Anshuman%20Mishra" TargetMode="External" Id="rId4"/><Relationship Type="http://schemas.openxmlformats.org/officeDocument/2006/relationships/hyperlink" Target="https://careers.google.com/students/" TargetMode="External" Id="rId5"/><Relationship Type="http://schemas.openxmlformats.org/officeDocument/2006/relationships/hyperlink" Target="https://scholar.google.com/scholar?q=Kim%20Stachenfeld" TargetMode="External" Id="rId6"/><Relationship Type="http://schemas.openxmlformats.org/officeDocument/2006/relationships/hyperlink" Target="mailto:viren@google.com" TargetMode="External" Id="rId7"/><Relationship Type="http://schemas.openxmlformats.org/officeDocument/2006/relationships/hyperlink" Target="https://scholar.google.com/scholar?q=Matthew%20Botvinick" TargetMode="External" Id="rId8"/><Relationship Type="http://schemas.openxmlformats.org/officeDocument/2006/relationships/hyperlink" Target="https://scholar.google.com/scholar?q=Timothy%20Lillicrap" TargetMode="External" Id="rId9"/><Relationship Type="http://schemas.openxmlformats.org/officeDocument/2006/relationships/hyperlink" Target="https://deepmind.google/about/careers/" TargetMode="External" Id="rId10"/><Relationship Type="http://schemas.openxmlformats.org/officeDocument/2006/relationships/hyperlink" Target="https://scholar.google.com/scholar?q=Timothy%20Lillicrap" TargetMode="External" Id="rId11"/><Relationship Type="http://schemas.openxmlformats.org/officeDocument/2006/relationships/hyperlink" Target="mailto:timothylillicrap@google.com" TargetMode="External" Id="rId12"/><Relationship Type="http://schemas.openxmlformats.org/officeDocument/2006/relationships/hyperlink" Target="https://scholar.google.com/scholar?q=Matthew%20Botvinick" TargetMode="External" Id="rId13"/><Relationship Type="http://schemas.openxmlformats.org/officeDocument/2006/relationships/hyperlink" Target="mailto:stachenfeld@google.com" TargetMode="External" Id="rId14"/><Relationship Type="http://schemas.openxmlformats.org/officeDocument/2006/relationships/hyperlink" Target="https://scholar.google.com/scholar?q=Kim%20Stachenfeld" TargetMode="External" Id="rId15"/><Relationship Type="http://schemas.openxmlformats.org/officeDocument/2006/relationships/hyperlink" Target="mailto:abanino@google.com" TargetMode="External" Id="rId16"/><Relationship Type="http://schemas.openxmlformats.org/officeDocument/2006/relationships/hyperlink" Target="https://www.metacareers.com/" TargetMode="External" Id="rId17"/><Relationship Type="http://schemas.openxmlformats.org/officeDocument/2006/relationships/hyperlink" Target="https://scholar.google.com/scholar?q=Dario%20Farina" TargetMode="External" Id="rId18"/><Relationship Type="http://schemas.openxmlformats.org/officeDocument/2006/relationships/hyperlink" Target="mailto:d.farina@imperial.ac.uk" TargetMode="External" Id="rId19"/><Relationship Type="http://schemas.openxmlformats.org/officeDocument/2006/relationships/hyperlink" Target="https://scholar.google.com/scholar?q=Michael%20J.%20Proulx" TargetMode="External" Id="rId20"/><Relationship Type="http://schemas.openxmlformats.org/officeDocument/2006/relationships/hyperlink" Target="https://scholar.google.com/scholar?q=Konstantinos%20Barmpas" TargetMode="External" Id="rId21"/><Relationship Type="http://schemas.openxmlformats.org/officeDocument/2006/relationships/hyperlink" Target="https://careers.microsoft.com/students" TargetMode="External" Id="rId22"/><Relationship Type="http://schemas.openxmlformats.org/officeDocument/2006/relationships/hyperlink" Target="https://scholar.google.com/scholar?q=Ivan%20Tashev" TargetMode="External" Id="rId23"/><Relationship Type="http://schemas.openxmlformats.org/officeDocument/2006/relationships/hyperlink" Target="mailto:ivantash@microsoft.com" TargetMode="External" Id="rId24"/><Relationship Type="http://schemas.openxmlformats.org/officeDocument/2006/relationships/hyperlink" Target="https://scholar.google.com/scholar?q=Yansen%20Wang" TargetMode="External" Id="rId25"/><Relationship Type="http://schemas.openxmlformats.org/officeDocument/2006/relationships/hyperlink" Target="mailto:dimitra.emmanouilidou@microsoft.com" TargetMode="External" Id="rId26"/><Relationship Type="http://schemas.openxmlformats.org/officeDocument/2006/relationships/hyperlink" Target="https://scholar.google.com/scholar?q=Jeremiah%20Wander" TargetMode="External" Id="rId27"/><Relationship Type="http://schemas.openxmlformats.org/officeDocument/2006/relationships/hyperlink" Target="mailto:awilson@microsoft.com" TargetMode="External" Id="rId28"/><Relationship Type="http://schemas.openxmlformats.org/officeDocument/2006/relationships/hyperlink" Target="https://samsung.wd1.myworkdayjobs.com/Samsung_Careers" TargetMode="External" Id="rId29"/><Relationship Type="http://schemas.openxmlformats.org/officeDocument/2006/relationships/hyperlink" Target="https://scholar.google.com/scholar?q=Young%20D.%20Kwon" TargetMode="External" Id="rId30"/><Relationship Type="http://schemas.openxmlformats.org/officeDocument/2006/relationships/hyperlink" Target="mailto:s.venieris@samsung.com" TargetMode="External" Id="rId31"/><Relationship Type="http://schemas.openxmlformats.org/officeDocument/2006/relationships/hyperlink" Target="https://scholar.google.com/scholar?q=Titouan%20Parcollet" TargetMode="External" Id="rId32"/><Relationship Type="http://schemas.openxmlformats.org/officeDocument/2006/relationships/hyperlink" Target="mailto:young.kwon@samsung.com" TargetMode="External" Id="rId33"/><Relationship Type="http://schemas.openxmlformats.org/officeDocument/2006/relationships/hyperlink" Target="https://scholar.google.com/scholar?q=Minyoung%20Kim" TargetMode="External" Id="rId34"/><Relationship Type="http://schemas.openxmlformats.org/officeDocument/2006/relationships/hyperlink" Target="mailto:g.tzimiropoulos@qmul.ac.uk" TargetMode="External" Id="rId35"/><Relationship Type="http://schemas.openxmlformats.org/officeDocument/2006/relationships/hyperlink" Target="https://www.snap.com/en-US/jobs" TargetMode="External" Id="rId36"/><Relationship Type="http://schemas.openxmlformats.org/officeDocument/2006/relationships/hyperlink" Target="https://scholar.google.com/scholar?q=Tomas%20Jakab" TargetMode="External" Id="rId37"/><Relationship Type="http://schemas.openxmlformats.org/officeDocument/2006/relationships/hyperlink" Target="https://scholar.google.com/scholar?q=Willi%20Menapace" TargetMode="External" Id="rId38"/><Relationship Type="http://schemas.openxmlformats.org/officeDocument/2006/relationships/hyperlink" Target="https://scholar.google.com/scholar?q=Sergey%20Tulyakov" TargetMode="External" Id="rId39"/><Relationship Type="http://schemas.openxmlformats.org/officeDocument/2006/relationships/hyperlink" Target="https://careers.playstation.com/" TargetMode="External" Id="rId40"/><Relationship Type="http://schemas.openxmlformats.org/officeDocument/2006/relationships/hyperlink" Target="https://scholar.google.com/scholar?q=Nabajeet%20Barman" TargetMode="External" Id="rId41"/><Relationship Type="http://schemas.openxmlformats.org/officeDocument/2006/relationships/hyperlink" Target="https://scholar.google.com/scholar?q=Erick%20Flores" TargetMode="External" Id="rId42"/><Relationship Type="http://schemas.openxmlformats.org/officeDocument/2006/relationships/hyperlink" Target="https://scholar.google.com/scholar?q=Ueli%20Gallizzi" TargetMode="External" Id="rId43"/><Relationship Type="http://schemas.openxmlformats.org/officeDocument/2006/relationships/hyperlink" Target="https://www.bios.health/careers" TargetMode="External" Id="rId44"/><Relationship Type="http://schemas.openxmlformats.org/officeDocument/2006/relationships/hyperlink" Target="https://www.linkedin.com/search/results/people/?keywords=Emil%20Hewage" TargetMode="External" Id="rId45"/><Relationship Type="http://schemas.openxmlformats.org/officeDocument/2006/relationships/hyperlink" Target="https://www.linkedin.com/search/results/people/?keywords=Oliver%20Armitage" TargetMode="External" Id="rId46"/><Relationship Type="http://schemas.openxmlformats.org/officeDocument/2006/relationships/hyperlink" Target="https://www.linkedin.com/search/results/people/?keywords=Pascal%20Fortier-Poisson" TargetMode="External" Id="rId47"/><Relationship Type="http://schemas.openxmlformats.org/officeDocument/2006/relationships/hyperlink" Target="https://comind.jobs.personio.com/" TargetMode="External" Id="rId48"/><Relationship Type="http://schemas.openxmlformats.org/officeDocument/2006/relationships/hyperlink" Target="https://www.linkedin.com/search/results/people/?keywords=Dr.%20Rob%20Cooper" TargetMode="External" Id="rId49"/><Relationship Type="http://schemas.openxmlformats.org/officeDocument/2006/relationships/hyperlink" Target="https://www.linkedin.com/search/results/people/?keywords=James%20Dacombe" TargetMode="External" Id="rId50"/><Relationship Type="http://schemas.openxmlformats.org/officeDocument/2006/relationships/hyperlink" Target="https://www.linkedin.com/search/results/people/?keywords=Simon%20Morling" TargetMode="External" Id="rId51"/><Relationship Type="http://schemas.openxmlformats.org/officeDocument/2006/relationships/hyperlink" Target="mailto:info@cogitat.io" TargetMode="External" Id="rId52"/><Relationship Type="http://schemas.openxmlformats.org/officeDocument/2006/relationships/hyperlink" Target="https://www.linkedin.com/search/results/people/?keywords=Dr.%20Dimitrios%20Adamos" TargetMode="External" Id="rId53"/><Relationship Type="http://schemas.openxmlformats.org/officeDocument/2006/relationships/hyperlink" Target="https://www.linkedin.com/search/results/people/?keywords=Dr.%20Irene%20Kotsia" TargetMode="External" Id="rId54"/><Relationship Type="http://schemas.openxmlformats.org/officeDocument/2006/relationships/hyperlink" Target="https://www.linkedin.com/search/results/people/?keywords=Dr.%20Yannis%20Panagakis" TargetMode="External" Id="rId55"/><Relationship Type="http://schemas.openxmlformats.org/officeDocument/2006/relationships/hyperlink" Target="http://connectome.health/" TargetMode="External" Id="rId56"/><Relationship Type="http://schemas.openxmlformats.org/officeDocument/2006/relationships/hyperlink" Target="https://www.linkedin.com/search/results/people/?keywords=Dr.%20Rufus%20Mitchell-Heggs" TargetMode="External" Id="rId57"/><Relationship Type="http://schemas.openxmlformats.org/officeDocument/2006/relationships/hyperlink" Target="https://www.linkedin.com/search/results/people/?keywords=Lucas%20Scherdel" TargetMode="External" Id="rId58"/><Relationship Type="http://schemas.openxmlformats.org/officeDocument/2006/relationships/hyperlink" Target="https://www.linkedin.com/search/results/people/?keywords=Daniel%20Tamkin" TargetMode="External" Id="rId59"/><Relationship Type="http://schemas.openxmlformats.org/officeDocument/2006/relationships/hyperlink" Target="http://animorph.coop/" TargetMode="External" Id="rId60"/><Relationship Type="http://schemas.openxmlformats.org/officeDocument/2006/relationships/hyperlink" Target="https://www.linkedin.com/search/results/people/?keywords=Szczepan%20Orlins" TargetMode="External" Id="rId61"/><Relationship Type="http://schemas.openxmlformats.org/officeDocument/2006/relationships/hyperlink" Target="https://www.linkedin.com/search/results/people/?keywords=Professor%20Julia%20Simner" TargetMode="External" Id="rId62"/><Relationship Type="http://schemas.openxmlformats.org/officeDocument/2006/relationships/hyperlink" Target="https://www.linkedin.com/search/results/people/?keywords=Jon%20Rowe" TargetMode="External" Id="rId63"/><Relationship Type="http://schemas.openxmlformats.org/officeDocument/2006/relationships/hyperlink" Target="mailto:info@cumulusneuro.com" TargetMode="External" Id="rId64"/><Relationship Type="http://schemas.openxmlformats.org/officeDocument/2006/relationships/hyperlink" Target="https://www.linkedin.com/search/results/people/?keywords=Dr.%20Brian%20Murphy" TargetMode="External" Id="rId65"/><Relationship Type="http://schemas.openxmlformats.org/officeDocument/2006/relationships/hyperlink" Target="https://www.linkedin.com/search/results/people/?keywords=Hugh%20Nolan" TargetMode="External" Id="rId66"/><Relationship Type="http://schemas.openxmlformats.org/officeDocument/2006/relationships/hyperlink" Target="https://www.linkedin.com/search/results/people/?keywords=Dr.%20George%20Stothart" TargetMode="External" Id="rId67"/><Relationship Type="http://schemas.openxmlformats.org/officeDocument/2006/relationships/hyperlink" Target="http://emteqlabs.com/" TargetMode="External" Id="rId68"/><Relationship Type="http://schemas.openxmlformats.org/officeDocument/2006/relationships/hyperlink" Target="https://www.linkedin.com/search/results/people/?keywords=Dr.%20Charles%20Nduka" TargetMode="External" Id="rId69"/><Relationship Type="http://schemas.openxmlformats.org/officeDocument/2006/relationships/hyperlink" Target="https://www.linkedin.com/search/results/people/?keywords=Dr.%20Hristijan%20Gjoreski" TargetMode="External" Id="rId70"/><Relationship Type="http://schemas.openxmlformats.org/officeDocument/2006/relationships/hyperlink" Target="https://www.linkedin.com/search/results/people/?keywords=Dr.%20Ifi%20Mavridou" TargetMode="External" Id="rId71"/><Relationship Type="http://schemas.openxmlformats.org/officeDocument/2006/relationships/hyperlink" Target="mailto:info@myndplay.com" TargetMode="External" Id="rId72"/><Relationship Type="http://schemas.openxmlformats.org/officeDocument/2006/relationships/hyperlink" Target="https://www.linkedin.com/search/results/people/?keywords=Tre%20Azam" TargetMode="External" Id="rId73"/><Relationship Type="http://schemas.openxmlformats.org/officeDocument/2006/relationships/hyperlink" Target="https://www.linkedin.com/search/results/people/?keywords=Dr.%20Peter%20Collett" TargetMode="External" Id="rId74"/><Relationship Type="http://schemas.openxmlformats.org/officeDocument/2006/relationships/hyperlink" Target="https://www.linkedin.com/search/results/people/?keywords=Dr.%20Polina%20Zioga" TargetMode="External" Id="rId75"/><Relationship Type="http://schemas.openxmlformats.org/officeDocument/2006/relationships/hyperlink" Target="https://neurable.com/careers" TargetMode="External" Id="rId76"/><Relationship Type="http://schemas.openxmlformats.org/officeDocument/2006/relationships/hyperlink" Target="https://www.linkedin.com/search/results/people/?keywords=David%20Stanley" TargetMode="External" Id="rId77"/><Relationship Type="http://schemas.openxmlformats.org/officeDocument/2006/relationships/hyperlink" Target="https://www.linkedin.com/search/results/people/?keywords=Alicia%20Howell%20Munson" TargetMode="External" Id="rId78"/><Relationship Type="http://schemas.openxmlformats.org/officeDocument/2006/relationships/hyperlink" Target="https://www.linkedin.com/search/results/people/?keywords=Dr.%20Ramses%20Alcaide" TargetMode="External" Id="rId79"/><Relationship Type="http://schemas.openxmlformats.org/officeDocument/2006/relationships/hyperlink" Target="https://openbci.com/about" TargetMode="External" Id="rId80"/><Relationship Type="http://schemas.openxmlformats.org/officeDocument/2006/relationships/hyperlink" Target="https://www.linkedin.com/search/results/people/?keywords=Conor%20Russomanno" TargetMode="External" Id="rId81"/><Relationship Type="http://schemas.openxmlformats.org/officeDocument/2006/relationships/hyperlink" Target="https://www.linkedin.com/search/results/people/?keywords=Zoe%20Steine-Hanson" TargetMode="External" Id="rId82"/><Relationship Type="http://schemas.openxmlformats.org/officeDocument/2006/relationships/hyperlink" Target="https://www.linkedin.com/search/results/people/?keywords=Musa%20Mahmood" TargetMode="External" Id="rId83"/></Relationships>
</file>

<file path=xl/worksheets/_rels/sheet5.xml.rels><Relationships xmlns="http://schemas.openxmlformats.org/package/2006/relationships"><Relationship Type="http://schemas.openxmlformats.org/officeDocument/2006/relationships/hyperlink" Target="https://jobs.lever.co/palantir/44129013-01e0-4699-8fc1-7a189bb37b63" TargetMode="External" Id="rId1"/><Relationship Type="http://schemas.openxmlformats.org/officeDocument/2006/relationships/hyperlink" Target="https://jobs.lever.co/palantir/599b1907-aba1-4303-837b-66e69a521636" TargetMode="External" Id="rId2"/><Relationship Type="http://schemas.openxmlformats.org/officeDocument/2006/relationships/hyperlink" Target="https://www.tower-research.com/open-positions/?gh_jid=8037860" TargetMode="External" Id="rId3"/><Relationship Type="http://schemas.openxmlformats.org/officeDocument/2006/relationships/hyperlink" Target="https://www.jumptrading.com/hr/job?gh_jid=7977145" TargetMode="External" Id="rId4"/><Relationship Type="http://schemas.openxmlformats.org/officeDocument/2006/relationships/hyperlink" Target="https://www.jumptrading.com/hr/job?gh_jid=8010307" TargetMode="External" Id="rId5"/><Relationship Type="http://schemas.openxmlformats.org/officeDocument/2006/relationships/hyperlink" Target="https://careers.americanexpress.com/en/sites/CX_1/job/26013758/" TargetMode="External" Id="rId6"/><Relationship Type="http://schemas.openxmlformats.org/officeDocument/2006/relationships/hyperlink" Target="https://job-boards.eu.greenhouse.io/mangroup/jobs/4974906101" TargetMode="External" Id="rId7"/><Relationship Type="http://schemas.openxmlformats.org/officeDocument/2006/relationships/hyperlink" Target="https://job-boards.eu.greenhouse.io/mangroup/jobs/4978934101" TargetMode="External" Id="rId8"/><Relationship Type="http://schemas.openxmlformats.org/officeDocument/2006/relationships/hyperlink" Target="https://ecnf.fa.us2.oraclecloud.com/hcmUI/CandidateExperience/en/sites/CX/job/301900/" TargetMode="External" Id="rId9"/><Relationship Type="http://schemas.openxmlformats.org/officeDocument/2006/relationships/hyperlink" Target="https://www.bain.com/careers/find-a-role/position/?jobid=109373" TargetMode="External" Id="rId10"/><Relationship Type="http://schemas.openxmlformats.org/officeDocument/2006/relationships/hyperlink" Target="https://jobs.lever.co/palantir/76a60923-bb49-40f5-b061-7c7eb1299602" TargetMode="External" Id="rId11"/><Relationship Type="http://schemas.openxmlformats.org/officeDocument/2006/relationships/hyperlink" Target="https://job-boards.eu.greenhouse.io/imc/jobs/4912874101" TargetMode="External" Id="rId12"/><Relationship Type="http://schemas.openxmlformats.org/officeDocument/2006/relationships/hyperlink" Target="https://grnh.se/103h8wnc2us" TargetMode="External" Id="rId13"/><Relationship Type="http://schemas.openxmlformats.org/officeDocument/2006/relationships/hyperlink" Target="https://www.hudsonrivertrading.com/hrt-job/software-engineering-internship-c-or-python-summer-2027/" TargetMode="External" Id="rId14"/><Relationship Type="http://schemas.openxmlformats.org/officeDocument/2006/relationships/hyperlink" Target="https://grnh.se/bytkm3y62us" TargetMode="External" Id="rId15"/><Relationship Type="http://schemas.openxmlformats.org/officeDocument/2006/relationships/hyperlink" Target="https://job-boards.greenhouse.io/quadraturecapital/jobs/4255974" TargetMode="External" Id="rId16"/><Relationship Type="http://schemas.openxmlformats.org/officeDocument/2006/relationships/hyperlink" Target="https://osv-cci.wd1.myworkdayjobs.com/en-US/CCICareers/job/Data-Engineering-Internship--Summer-2027-_R1348" TargetMode="External" Id="rId17"/><Relationship Type="http://schemas.openxmlformats.org/officeDocument/2006/relationships/hyperlink" Target="https://job-boards.greenhouse.io/virtu/jobs/8745933002" TargetMode="External" Id="rId18"/><Relationship Type="http://schemas.openxmlformats.org/officeDocument/2006/relationships/hyperlink" Target="https://job-boards.greenhouse.io/mavensecuritiesholdingltd/jobs/7806970" TargetMode="External" Id="rId19"/><Relationship Type="http://schemas.openxmlformats.org/officeDocument/2006/relationships/hyperlink" Target="https://jobs.smartrecruiters.com/TTP1/744000149038070" TargetMode="External" Id="rId20"/></Relationships>
</file>

<file path=xl/worksheets/_rels/sheet6.xml.rels><Relationships xmlns="http://schemas.openxmlformats.org/package/2006/relationships"><Relationship Type="http://schemas.openxmlformats.org/officeDocument/2006/relationships/hyperlink" Target="https://careers.americanexpress.com/en/sites/CX_1/job/26013758/?utm_medium=tracker&amp;utm_source=Trackr&amp;utm_campaign=UK_Tech_2027" TargetMode="External" Id="rId1"/><Relationship Type="http://schemas.openxmlformats.org/officeDocument/2006/relationships/hyperlink" Target="https://jpmc.fa.oraclecloud.com/hcmUI/CandidateExperience/en/sites/CX_1001/jobs?keyword=summer+%222027+software+engineer%22&amp;location=United+Kingdom&amp;locationId=300000000289276&amp;locationLevel=country&amp;mode=location&amp;utm_source=Trackr&amp;utm_medium=tracker&amp;utm_campaign=UK_Tech_2027&amp;iis=Trackr&amp;sType=Trackr" TargetMode="External" Id="rId2"/><Relationship Type="http://schemas.openxmlformats.org/officeDocument/2006/relationships/hyperlink" Target="https://bankcampuscareers.tal.net/vx/lang-en-GB/mobile-0/brand-4/xf-3fa8353e9d47/candidate/so/pm/1/pl/1/opp/14661-Global-Technology-Cyber-Security-Summer-2027-Analyst-Chester/en-GB?utm_source=Trackr&amp;utm_medium=tracker&amp;utm_campaign=UK_Tech_2027" TargetMode="External" Id="rId3"/><Relationship Type="http://schemas.openxmlformats.org/officeDocument/2006/relationships/hyperlink" Target="https://osv-cci.wd1.myworkdayjobs.com/en-US/CCICareers/job/Data-Science-Machine-Learning-Internship--Summer-2027-_R1345?utm_source=Trackr&amp;utm_medium=tracker&amp;utm_campaign=UK_Tech_2027&amp;source=Trackr" TargetMode="External" Id="rId4"/><Relationship Type="http://schemas.openxmlformats.org/officeDocument/2006/relationships/hyperlink" Target="https://tencent.wd1.myworkdayjobs.com/en-US/Tencent_Careers/job/Cyber-Security-Intern_R108064?utm_source=Trackr&amp;utm_medium=tracker&amp;utm_campaign=UK_Tech_2027&amp;source=Trackr" TargetMode="External" Id="rId5"/><Relationship Type="http://schemas.openxmlformats.org/officeDocument/2006/relationships/hyperlink" Target="https://www.deshaw.com/careers/systems-engineering-intern-london-summer-2027-5925?utm_source=Trackr&amp;utm_medium=tracker&amp;utm_campaign=UK_Technology_2027&amp;source=Trackr" TargetMode="External" Id="rId6"/><Relationship Type="http://schemas.openxmlformats.org/officeDocument/2006/relationships/hyperlink" Target="https://www.samsara.com/company/careers/roles/8082093?utm_source=Trackr&amp;utm_medium=tracker&amp;utm_campaign=UK_Tech_2027&amp;gh_jid=8082093&amp;gh_src=Trackr" TargetMode="External" Id="rId7"/><Relationship Type="http://schemas.openxmlformats.org/officeDocument/2006/relationships/hyperlink" Target="https://www.revolut.com/careers/?text=internship+programme+2027" TargetMode="External" Id="rId8"/><Relationship Type="http://schemas.openxmlformats.org/officeDocument/2006/relationships/hyperlink" Target="https://careers.americanexpress.com/en/sites/CX_1/job/26013761/?utm_medium=tracker&amp;utm_source=Trackr&amp;utm_campaign=UK_Tech_2027" TargetMode="External" Id="rId9"/><Relationship Type="http://schemas.openxmlformats.org/officeDocument/2006/relationships/hyperlink" Target="https://job-boards.greenhouse.io/embed/job_app?for=gsacapital&amp;token=8570668002&amp;utm_source=Trackr&amp;utm_medium=tracker&amp;utm_campaign=UK_Tech_2027&amp;gh_src=Trackr" TargetMode="External" Id="rId10"/><Relationship Type="http://schemas.openxmlformats.org/officeDocument/2006/relationships/hyperlink" Target="https://higher.gs.com/roles/170644?utm_source=Trackr&amp;utm_medium=tracker&amp;utm_campaign=UK_Tech_2027" TargetMode="External" Id="rId11"/><Relationship Type="http://schemas.openxmlformats.org/officeDocument/2006/relationships/hyperlink" Target="https://ciena.wd5.myworkdayjobs.com/en-US/Careers/job/Software-Engineering-Intern--3-12-Months-_R031332?utm_source=Trackr&amp;utm_medium=tracker&amp;utm_campaign=UK_Tech_2027&amp;source=Trackr" TargetMode="External" Id="rId12"/><Relationship Type="http://schemas.openxmlformats.org/officeDocument/2006/relationships/hyperlink" Target="https://job-boards.greenhouse.io/quadraturecapital/jobs/4255974?utm_source=Trackr&amp;utm_medium=tracker&amp;utm_campaign=UK_Tech_2027&amp;gh_src=Trackr" TargetMode="External" Id="rId13"/><Relationship Type="http://schemas.openxmlformats.org/officeDocument/2006/relationships/hyperlink" Target="https://job-boards.greenhouse.io/virtu/jobs/8551566002?utm_source=Trackr&amp;utm_medium=tracker&amp;utm_campaign=UK_Tech_2027&amp;gh_src=Trackr" TargetMode="External" Id="rId14"/><Relationship Type="http://schemas.openxmlformats.org/officeDocument/2006/relationships/hyperlink" Target="https://carreiras.btgpactual.com/vagas/hr/summer-undergrad-2027/6113588004?utm_source=Trackr&amp;utm_medium=tracker&amp;utm_campaign=UK_Tech_2027" TargetMode="External" Id="rId15"/><Relationship Type="http://schemas.openxmlformats.org/officeDocument/2006/relationships/hyperlink" Target="https://www.careers.zurich.com/search/?createNewAlert=false&amp;q=&amp;locationsearch=&amp;optionsFacetsDD_shifttype=Intern%2FTrainee&amp;optionsFacetsDD_department=Information+Technology&amp;optionsFacetsDD_customfield3=United+Kingdom&amp;utm_source=Trackr&amp;utm_medium=tracker&amp;utm_campaign=UK_Tech_2027" TargetMode="External" Id="rId16"/><Relationship Type="http://schemas.openxmlformats.org/officeDocument/2006/relationships/hyperlink" Target="https://www.grb.uk.com/internships/mizuho-banking-it-developer-summer-internship-london-37894/?utm_source=Trackr&amp;utm_medium=tracker&amp;utm_campaign=UK_Tech_2027" TargetMode="External" Id="rId17"/><Relationship Type="http://schemas.openxmlformats.org/officeDocument/2006/relationships/hyperlink" Target="https://pimco.wd1.myworkdayjobs.com/en-US/pimco-careers/job/XMLNAME-2027-Summer-Intern---Technology-Analyst--Software-Engineering--EMEA_R106800?utm_source=Trackr&amp;utm_medium=tracker&amp;utm_campaign=UK_Tech_2027&amp;source=Trackr" TargetMode="External" Id="rId18"/><Relationship Type="http://schemas.openxmlformats.org/officeDocument/2006/relationships/hyperlink" Target="https://morganstanley.tal.net/vx/lang-en-GB/mobile-0/brand-2/user-5764832/xf-854c2833f441/candidate/so/pm/1/pl/1/opp/21520-2027-Technology-Summer-Analyst-Programme-London/en-GB?utm_source=Trackr&amp;utm_medium=tracker&amp;utm_campaign=UK_Tech_2027" TargetMode="External" Id="rId19"/><Relationship Type="http://schemas.openxmlformats.org/officeDocument/2006/relationships/hyperlink" Target="https://gic.careers/programmes/gic-internship-programme/?utm_source=Trackr&amp;utm_medium=tracker&amp;utm_campaign=UK_Tech_2027" TargetMode="External" Id="rId20"/><Relationship Type="http://schemas.openxmlformats.org/officeDocument/2006/relationships/hyperlink" Target="https://jobs.ashbyhq.com/Talos-Trading/42cad756-c312-4142-a9b7-18ed76f61c5d?utm_source=Trackr&amp;utm_medium=tracker&amp;utm_campaign=UK_Tech_2027" TargetMode="External" Id="rId21"/><Relationship Type="http://schemas.openxmlformats.org/officeDocument/2006/relationships/hyperlink" Target="https://careers.sig.com/jobs?page=1&amp;categories=Interns+%2B+Co-ops%7CStudent+Discovery+Program&amp;limit=100&amp;tags1=Technology+-+Software+Engineering&amp;utm_source=Trackr&amp;utm_medium=tracker&amp;utm_campaign=UK_Tech_2027" TargetMode="External" Id="rId22"/><Relationship Type="http://schemas.openxmlformats.org/officeDocument/2006/relationships/hyperlink" Target="https://stripe.com/careers/listing/software-engineer-intern/8130867?utm_source=Trackr&amp;utm_medium=tracker&amp;utm_campaign=UK_Tech_2027" TargetMode="External" Id="rId23"/><Relationship Type="http://schemas.openxmlformats.org/officeDocument/2006/relationships/hyperlink" Target="https://arcticlake.com/careers/software-engineer-intern?utm_source=Trackr&amp;utm_medium=job_board&amp;utm_campaign=Q3_2026" TargetMode="External" Id="rId24"/><Relationship Type="http://schemas.openxmlformats.org/officeDocument/2006/relationships/hyperlink" Target="https://www.quantbot.com/careers/?gh_jid=4299858009&amp;utm_source=Trackr&amp;utm_medium=tracker&amp;utm_campaign=UK_Tech_2027&amp;gh_src=Trackr" TargetMode="External" Id="rId25"/><Relationship Type="http://schemas.openxmlformats.org/officeDocument/2006/relationships/hyperlink" Target="https://jpmc.fa.oraclecloud.com/hcmUI/CandidateExperience/en/sites/CX_1001/job/210774745/?utm_medium=tracker&amp;utm_source=Trackr&amp;utm_campaign=UK_Tech_2027&amp;iis=Trackr&amp;sType=Trackr" TargetMode="External" Id="rId26"/><Relationship Type="http://schemas.openxmlformats.org/officeDocument/2006/relationships/hyperlink" Target="https://www.qube-rt.com/careers/job?gh_jid=8773084002&amp;utm_source=Trackr&amp;utm_medium=tracker&amp;utm_campaign=UK_Tech_2027&amp;gh_src=Trackr" TargetMode="External" Id="rId27"/><Relationship Type="http://schemas.openxmlformats.org/officeDocument/2006/relationships/hyperlink" Target="https://jobs.ashbyhq.com/blocktech/a12b3714-d243-41ee-a6b6-e39776630888?utm_source=rpvOOX7L1z" TargetMode="External" Id="rId28"/><Relationship Type="http://schemas.openxmlformats.org/officeDocument/2006/relationships/hyperlink" Target="https://group.bnpparibas/en/careers/job-offer/london-2027-summer-internship-technology?utm_source=Trackr&amp;utm_medium=tracker&amp;utm_campaign=UK_Tech_2027" TargetMode="External" Id="rId29"/><Relationship Type="http://schemas.openxmlformats.org/officeDocument/2006/relationships/hyperlink" Target="https://bailliegifford.wd3.myworkdayjobs.com/en-US/BaillieGiffordEarlyCareers/job/Cloud--Infrastructure---Security-Summer-Internship-2027_R0004565?utm_source=Trackr&amp;utm_medium=tracker&amp;utm_campaign=UK_Tech_2027&amp;source=Trackr" TargetMode="External" Id="rId30"/><Relationship Type="http://schemas.openxmlformats.org/officeDocument/2006/relationships/hyperlink" Target="https://capitalone.wd12.myworkdayjobs.com/en-US/Capital_One/job/Technology-Summer-Internship_R999269?utm_source=Trackr&amp;utm_medium=tracker&amp;utm_campaign=UK_Tech_2027&amp;source=Trackr" TargetMode="External" Id="rId31"/><Relationship Type="http://schemas.openxmlformats.org/officeDocument/2006/relationships/hyperlink" Target="https://www.google.com/about/careers/applications/jobs/results/100028133205254854-software-engineering/?utm_source=Trackr&amp;utm_medium=tracker&amp;utm_campaign=UK_Tech_2027&amp;src=Trackr" TargetMode="External" Id="rId32"/><Relationship Type="http://schemas.openxmlformats.org/officeDocument/2006/relationships/hyperlink" Target="https://jobs.lever.co/palantir?location=London%2C+United+Kingdom&amp;commitment=Internship&amp;utm_source=Trackr&amp;utm_medium=tracker&amp;utm_campaign=UK_Tech_2027&amp;lever-source=Trackr" TargetMode="External" Id="rId33"/><Relationship Type="http://schemas.openxmlformats.org/officeDocument/2006/relationships/hyperlink" Target="https://blackstone.wd1.myworkdayjobs.com/en-US/Blackstone_Campus_Careers/job/XMLNAME-2027-Blackstone-Technology---Innovations---Software-Engineer-Summer-Analyst_45358?utm_source=Trackr&amp;utm_medium=tracker&amp;utm_campaign=UK_Tech_2027&amp;source=Trackr" TargetMode="External" Id="rId34"/><Relationship Type="http://schemas.openxmlformats.org/officeDocument/2006/relationships/hyperlink" Target="https://ecnf.fa.us2.oraclecloud.com/hcmUI/CandidateExperience/en/sites/CX/job/301900/?utm_medium=tracker&amp;utm_source=Trackr&amp;utm_campaign=UK_Tech_2027&amp;iis=Trackr&amp;sType=Trackr" TargetMode="External" Id="rId35"/><Relationship Type="http://schemas.openxmlformats.org/officeDocument/2006/relationships/hyperlink" Target="https://www.hudsonrivertrading.com/hrt-job/software-engineering-internship-c-or-python-summer-2027/?gh_src=Trackr&amp;utm_source=Trackr&amp;utm_medium=tracker&amp;utm_campaign=UK_Tech_2027" TargetMode="External" Id="rId36"/><Relationship Type="http://schemas.openxmlformats.org/officeDocument/2006/relationships/hyperlink" Target="https://campusjobs.mlp.com/careers?location=London%2C+London%2C+United+Kingdom&amp;pid=755957778834&amp;domain=mlp.com&amp;sort_by=relevance&amp;triggerGoButton=false&amp;utm_source=Trackr&amp;utm_medium=tracker&amp;utm_campaign=UK_Tech_2027" TargetMode="External" Id="rId37"/><Relationship Type="http://schemas.openxmlformats.org/officeDocument/2006/relationships/hyperlink" Target="https://job-boards.greenhouse.io/mavensecuritiesholdingltd/jobs/7806987?utm_source=Trackr&amp;utm_medium=tracker&amp;utm_campaign=UK_Tech_2027&amp;gh_src=Trackr" TargetMode="External" Id="rId38"/><Relationship Type="http://schemas.openxmlformats.org/officeDocument/2006/relationships/hyperlink" Target="https://blackrock.tal.net/vx/lang-en-GB/mobile-0/brand-3/user-1735377/xf-bce35dd61046/candidate/so/pm/1/pl/1/opp/12232-2027-Summer-Internship-Program-EMEA/en-GB?utm_source=Trackr&amp;utm_medium=tracker&amp;utm_campaign=UK_Tech_2027" TargetMode="External" Id="rId39"/><Relationship Type="http://schemas.openxmlformats.org/officeDocument/2006/relationships/hyperlink" Target="https://jobs.ashbyhq.com/Talos-Trading/f2a0aaa2-af88-4715-9f2d-8f61bd5e2935?utm_source=Trackr&amp;utm_medium=tracker&amp;utm_campaign=UK_Tech_2027" TargetMode="External" Id="rId40"/><Relationship Type="http://schemas.openxmlformats.org/officeDocument/2006/relationships/hyperlink" Target="https://job-boards.greenhouse.io/dvtrading/jobs/4719125005?utm_source=Trackr&amp;utm_medium=tracker&amp;utm_campaign=UK_Tech_2027&amp;gh_src=Trackr" TargetMode="External" Id="rId41"/><Relationship Type="http://schemas.openxmlformats.org/officeDocument/2006/relationships/hyperlink" Target="https://jefferies.tal.net/vx/lang-en-GB/mobile-0/appcentre-1/brand-4/user-415213/xf-5ac368c85a0a/candidate/so/pm/1/pl/2/opp/1957-2027-Information-Technology-Summer-Internship-Programme-in-London/en-GB?utm_source=Trackr&amp;utm_medium=tracker&amp;utm_campaign=UK_Tech_2027" TargetMode="External" Id="rId42"/><Relationship Type="http://schemas.openxmlformats.org/officeDocument/2006/relationships/hyperlink" Target="https://mbda.wd3.myworkdayjobs.com/en-US/MBDA-UK/job/Software-Engineer---Summer-Placement-2027_R37759?utm_source=Trackr&amp;utm_medium=tracker&amp;utm_campaign=UK_Tech_2027&amp;source=Trackr" TargetMode="External" Id="rId43"/><Relationship Type="http://schemas.openxmlformats.org/officeDocument/2006/relationships/hyperlink" Target="https://www.squarepoint-capital.com/opportunity-details?id=7231006&amp;id=7231006&amp;gh_jid=7231006&amp;utm_source=Trackr&amp;utm_medium=tracker&amp;utm_campaign=UK_Tech_2027&amp;gh_src=Trackr" TargetMode="External" Id="rId44"/><Relationship Type="http://schemas.openxmlformats.org/officeDocument/2006/relationships/hyperlink" Target="https://grnh.se/dfw7paj51us" TargetMode="External" Id="rId45"/><Relationship Type="http://schemas.openxmlformats.org/officeDocument/2006/relationships/hyperlink" Target="https://www.epicgames.com/site/careers/jobs/6163851004?lang=en-US&amp;utm_source=Trackr&amp;utm_medium=tracker&amp;utm_campaign=UK_Tech_2027" TargetMode="External" Id="rId46"/><Relationship Type="http://schemas.openxmlformats.org/officeDocument/2006/relationships/hyperlink" Target="https://osv-cci.wd1.myworkdayjobs.com/en-US/CCICareers/job/Front-Office-Software-Engineer-Internship--Summer-2027-_R1347?source=Trackr&amp;utm_source=Trackr&amp;utm_medium=tracker&amp;utm_campaign=UK_Tech_2027" TargetMode="External" Id="rId47"/><Relationship Type="http://schemas.openxmlformats.org/officeDocument/2006/relationships/hyperlink" Target="https://job-boards.eu.greenhouse.io/imc/jobs/4912874101?utm_source=Trackr&amp;utm_medium=tracker&amp;utm_campaign=UK_Tech_2027&amp;gh_src=Trackr" TargetMode="External" Id="rId48"/><Relationship Type="http://schemas.openxmlformats.org/officeDocument/2006/relationships/hyperlink" Target="https://job-boards.eu.greenhouse.io/mangroup/jobs/4978934101?utm_source=Trackr&amp;utm_medium=tracker&amp;utm_campaign=UK_Tech_2027&amp;gh_src=Trackr" TargetMode="External" Id="rId49"/><Relationship Type="http://schemas.openxmlformats.org/officeDocument/2006/relationships/hyperlink" Target="https://www.janestreet.com/join-jane-street/open-roles/?utm_source=Trackr&amp;utm_medium=tracker&amp;utm_campaign=UK_Tech_2027&amp;type=internship&amp;location=london" TargetMode="External" Id="rId50"/><Relationship Type="http://schemas.openxmlformats.org/officeDocument/2006/relationships/hyperlink" Target="https://www.qube-rt.com/careers/job?gh_jid=8773447002&amp;utm_source=Trackr&amp;utm_medium=tracker&amp;utm_campaign=UK_Tech_2027&amp;gh_src=Trackr" TargetMode="External" Id="rId51"/><Relationship Type="http://schemas.openxmlformats.org/officeDocument/2006/relationships/hyperlink" Target="https://job-boards.greenhouse.io/embed/job_board?for=jumptrading&amp;offices%5B%5D=58179&amp;offices%5B%5D=2448&amp;keyword=engineer+intern&amp;utm_source=Trackr&amp;utm_medium=tracker&amp;utm_campaign=UK_Tech_2027&amp;gh_src=Trackr" TargetMode="External" Id="rId52"/><Relationship Type="http://schemas.openxmlformats.org/officeDocument/2006/relationships/hyperlink" Target="https://careers.ibm.com/en_US/careers/JobDetail?jobId=128230&amp;source=Trackr&amp;utm_source=Trackr&amp;utm_medium=tracker&amp;utm_campaign=UK_Tech_2027" TargetMode="External" Id="rId53"/><Relationship Type="http://schemas.openxmlformats.org/officeDocument/2006/relationships/hyperlink" Target="https://careers.americanexpress.com/en/sites/CX_1/jobs?intlink=us-amex-career-en-us-GlobalStudentsPage-Explore-student-opportunities&amp;keyword=internship+%22software+engineer%22&amp;lastSelectedFacet=AttributeChar6&amp;location=United+Kingdom&amp;locationId=300000000228702&amp;locationLevel=country&amp;mode=location&amp;selectedFlexFieldsFacets=%22AttributeChar6%7CTechnology%22&amp;utm_source=Trackr&amp;utm_medium=tracker&amp;utm_campaign=UK_Tech_2027" TargetMode="External" Id="rId54"/><Relationship Type="http://schemas.openxmlformats.org/officeDocument/2006/relationships/hyperlink" Target="https://job-boards.greenhouse.io/andurilindustries/jobs/5231488007?gh_jid=5231488007&amp;utm_source=Trackr&amp;utm_medium=tracker&amp;utm_campaign=UK_Tech_2027&amp;gh_src=Trackr" TargetMode="External" Id="rId55"/><Relationship Type="http://schemas.openxmlformats.org/officeDocument/2006/relationships/hyperlink" Target="https://www.bain.com/careers/find-a-role/position/?jobid=109373&amp;utm_source=Trackr&amp;utm_medium=tracker&amp;utm_campaign=UK_Tech_2027" TargetMode="External" Id="rId56"/><Relationship Type="http://schemas.openxmlformats.org/officeDocument/2006/relationships/hyperlink" Target="https://jobs.bendingspoons.com/positions/6a8c35f7af0372856cb59d12?utm_source=Trackr&amp;utm_medium=tracker&amp;utm_campaign=UK_Tech_2027&amp;source=Trackr" TargetMode="External" Id="rId57"/><Relationship Type="http://schemas.openxmlformats.org/officeDocument/2006/relationships/hyperlink" Target="https://jobs.smartrecruiters.com/TTP1/744000149038758-summer-internship-software-engineering-consultant-2027?utm_source=Trackr&amp;utm_medium=tracker&amp;utm_campaign=UK_Tech_2027&amp;trid=Trackr&amp;dcr_ci=Trackr" TargetMode="External" Id="rId58"/><Relationship Type="http://schemas.openxmlformats.org/officeDocument/2006/relationships/hyperlink" Target="https://ecnf.fa.us2.oraclecloud.com/hcmUI/CandidateExperience/en/sites/CX/jobs?keyword=internship+%22developer%22&amp;location=United+Kingdom&amp;locationId=300000000345058&amp;locationLevel=country&amp;mode=location&amp;utm_source=Trackr&amp;utm_medium=tracker&amp;utm_campaign=UK_Tech_2027&amp;iis=Trackr&amp;sType=Trackr" TargetMode="External" Id="rId59"/><Relationship Type="http://schemas.openxmlformats.org/officeDocument/2006/relationships/hyperlink" Target="https://bailliegifford.wd3.myworkdayjobs.com/en-US/BaillieGiffordEarlyCareers/job/Software-Engineering---Innovation-Summer-Internship-2027_R0004566?utm_source=Trackr&amp;utm_medium=tracker&amp;utm_campaign=UK_Tech_2027&amp;source=Trackr" TargetMode="External" Id="rId60"/><Relationship Type="http://schemas.openxmlformats.org/officeDocument/2006/relationships/hyperlink" Target="https://bankcampuscareers.tal.net/vx/lang-en-GB/mobile-0/brand-4/xf-3fa8353e9d47/candidate/so/pm/1/pl/1/opp/14652-Global-Technology-Software-Engineer-Summer-2027-Analyst-Bromley/en-GB?utm_source=Trackr&amp;utm_medium=tracker&amp;utm_campaign=UK_Tech_2027" TargetMode="External" Id="rId61"/><Relationship Type="http://schemas.openxmlformats.org/officeDocument/2006/relationships/hyperlink" Target="https://shell.wd3.myworkdayjobs.com/en-GB/ShellCareers/job/London---Shell-Centre/Shell-Assessed-Internship-Programme-2027---United-Kingdom_R205154?source=APPLICANT_SOURCE_NewChannel" TargetMode="External" Id="rId62"/><Relationship Type="http://schemas.openxmlformats.org/officeDocument/2006/relationships/hyperlink" Target="https://tencent.wd1.myworkdayjobs.com/en-US/Tencent_Careers/job/UK-London/Software-Engineering-Intern_R107162-1?utm_source=Trackr&amp;utm_medium=tracker&amp;utm_campaign=UK_Tech_2027&amp;source=Trackr" TargetMode="External" Id="rId63"/><Relationship Type="http://schemas.openxmlformats.org/officeDocument/2006/relationships/hyperlink" Target="https://job-boards.greenhouse.io/xantium/jobs/4360768009?utm_source=Trackr&amp;utm_medium=tracker&amp;utm_campaign=UK_Tech_2027&amp;gh_src=Trackr" TargetMode="External" Id="rId64"/><Relationship Type="http://schemas.openxmlformats.org/officeDocument/2006/relationships/hyperlink" Target="https://grnh.se/1r2jbe1d2us" TargetMode="External" Id="rId65"/><Relationship Type="http://schemas.openxmlformats.org/officeDocument/2006/relationships/hyperlink" Target="https://grnh.se/103h8wnc2us" TargetMode="External" Id="rId66"/><Relationship Type="http://schemas.openxmlformats.org/officeDocument/2006/relationships/hyperlink" Target="https://bankcampuscareers.tal.net/vx/lang-en-GB/mobile-0/brand-4/xf-3fa8353e9d47/candidate/so/pm/1/pl/1/opp/14582-Global-Technology-Technology-Infrastructure-Summer-2027-Analyst-Chester/en-GB?utm_source=Trackr&amp;utm_medium=tracker&amp;utm_campaign=UK_Tech_2027" TargetMode="External" Id="rId67"/><Relationship Type="http://schemas.openxmlformats.org/officeDocument/2006/relationships/hyperlink" Target="https://osv-cci.wd1.myworkdayjobs.com/en-US/CCICareers/job/Data-Engineering-Internship--Summer-2027-_R1348?utm_source=Trackr&amp;utm_medium=tracker&amp;utm_campaign=UK_Tech_2027&amp;source=Trackr" TargetMode="External" Id="rId68"/><Relationship Type="http://schemas.openxmlformats.org/officeDocument/2006/relationships/hyperlink" Target="https://job-boards.eu.greenhouse.io/imc/jobs/4667854101?utm_source=Trackr&amp;utm_medium=tracker&amp;utm_campaign=UK_Tech_2027&amp;gh_src=Trackr" TargetMode="External" Id="rId69"/><Relationship Type="http://schemas.openxmlformats.org/officeDocument/2006/relationships/hyperlink" Target="https://www.qube-rt.com/careers/job?gh_jid=8777760002&amp;utm_source=Trackr&amp;utm_medium=tracker&amp;utm_campaign=UK_Tech_2027&amp;gh_src=Trackr" TargetMode="External" Id="rId70"/><Relationship Type="http://schemas.openxmlformats.org/officeDocument/2006/relationships/hyperlink" Target="https://jobs.apple.com/en-gb/search?sort=relevance&amp;location=united-kingdom-GBR&amp;key=internship&amp;team=acoustic-technologies-HRDWR-ACT+analog-and-digital-design-HRDWR-ADD+architecture-HRDWR-ARCH+battery-engineering-HRDWR-BE+camera-and-depth-technologies-HRDWR-CAM+display-technologies-HRDWR-DISP+engineering-project-and-programme-management-HRDWR-EPM+human-and-health-technologies-HRDWR-HT+machine-learning-and-ai-HRDWR-MCHLN+mechanical-engineering-HRDWR-ME+reliability-engineering-HRDWR-REL+sensing-power-and-haptics-technologies-HRDWR-SENT+silicon-engineering-HRDWR-SILT+system-design-and-test-engineering-HRDWR-SDE+apps-and-frameworks-SFTWR-AF+cloud-and-back-end-infrastructure-SFTWR-CLD+devops-and-site-reliability-SFTWR-DSR+engineering-project-and-programme-management-SFTWR-EPM+information-systems-and-technology-SFTWR-ISTECH+machine-learning-and-ai-SFTWR-MCHLN+operating-systems-SFTWR-COS+security-and-privacy-SFTWR-SEC+software-quality-automation-tools-and-validation-SFTWR-SQAT+wireless-software-SFTWR-WSFT+computer-vision-MLAI-CV+deep-learning-generative-ai-and-foundation-models-MLAI-DLRL+machine-learning-compute-and-infrastructure-MLAI-MLI+natural-language-processing-and-speech-technologies-MLAI-NLP+security-MLAI-SEC&amp;utm_source=Trackr&amp;utm_medium=tracker&amp;utm_campaign=UK_Tech_2027" TargetMode="External" Id="rId71"/></Relationships>
</file>

<file path=xl/worksheets/_rels/sheet7.xml.rels><Relationships xmlns="http://schemas.openxmlformats.org/package/2006/relationships"><Relationship Type="http://schemas.openxmlformats.org/officeDocument/2006/relationships/hyperlink" Target="https://job-boards.greenhouse.io/ashfieldadvisory/jobs/7967069?utm_source=Trackr&amp;utm_medium=tracker&amp;utm_campaign=UK_Finance_2027&amp;gh_src=Trackr" TargetMode="External" Id="rId1"/><Relationship Type="http://schemas.openxmlformats.org/officeDocument/2006/relationships/hyperlink" Target="https://job-boards.eu.greenhouse.io/mangroup/jobs/4969142101?utm_source=Trackr&amp;utm_medium=tracker&amp;utm_campaign=UK_Finance_2027&amp;gh_src=Trackr" TargetMode="External" Id="rId2"/><Relationship Type="http://schemas.openxmlformats.org/officeDocument/2006/relationships/hyperlink" Target="https://jpmc.fa.oraclecloud.com/hcmUI/CandidateExperience/en/sites/CX_1001/job/210780555/?utm_source=Trackr&amp;utm_medium=tracker&amp;utm_campaign=UK_Finance_2027&amp;iis=Trackr&amp;sType=Trackr" TargetMode="External" Id="rId3"/><Relationship Type="http://schemas.openxmlformats.org/officeDocument/2006/relationships/hyperlink" Target="https://jpmc.fa.oraclecloud.com/hcmUI/CandidateExperience/en/sites/CX_1001/job/210780517/?utm_source=Trackr&amp;utm_medium=tracker&amp;utm_campaign=UK_Finance_2027&amp;iis=Trackr&amp;sType=Trackr" TargetMode="External" Id="rId4"/><Relationship Type="http://schemas.openxmlformats.org/officeDocument/2006/relationships/hyperlink" Target="https://jpmc.fa.oraclecloud.com/hcmUI/CandidateExperience/en/sites/CX_1001/jobs?utm_source=Trackr&amp;utm_medium=tracker&amp;utm_campaign=UK_Finance_2027&amp;iis=Trackr&amp;sType=Trackr&amp;keyword=summer+internship+%22risk%22&amp;location=United+Kingdom&amp;locationId=300000000289276&amp;locationLevel=country&amp;mode=location" TargetMode="External" Id="rId5"/><Relationship Type="http://schemas.openxmlformats.org/officeDocument/2006/relationships/hyperlink" Target="https://jobs.smartrecruiters.com/Wiser/744000143765069-private-funds-group-summer-internship-2027-evercore?utm_source=Trackr&amp;utm_medium=tracker&amp;utm_campaign=UK_Finance_2027&amp;trid=Trackr&amp;dcr_ci=Trackr" TargetMode="External" Id="rId6"/><Relationship Type="http://schemas.openxmlformats.org/officeDocument/2006/relationships/hyperlink" Target="https://jobs.smartrecruiters.com/Wiser/744000146674819-restructuring-summer-internship-2027-evercore?utm_source=Trackr&amp;utm_medium=tracker&amp;utm_campaign=UK_Finance_2027&amp;trid=Trackr&amp;dcr_ci=Trackr" TargetMode="External" Id="rId7"/><Relationship Type="http://schemas.openxmlformats.org/officeDocument/2006/relationships/hyperlink" Target="https://jobs.smartrecruiters.com/SocieteGenerale4/744000147858409-global-banking-and-advisory-2027-summer-internship-8-weeks-?trid=Trackr&amp;utm_source=Trackr&amp;utm_medium=tracker&amp;utm_campaign=UK_Finance_2027&amp;dcr_ci=Trackr" TargetMode="External" Id="rId8"/><Relationship Type="http://schemas.openxmlformats.org/officeDocument/2006/relationships/hyperlink" Target="https://jefferies.tal.net/vx/lang-en-GB/mobile-0/appcentre-1/brand-4/candidate/so/pm/1/pl/2/opp/1927-2027-Private-Fund-Advisory-Summer-Internship-Programme-London/en-GB?utm_source=Trackr&amp;utm_medium=tracker&amp;utm_campaign=UK_Finance_2027" TargetMode="External" Id="rId9"/><Relationship Type="http://schemas.openxmlformats.org/officeDocument/2006/relationships/hyperlink" Target="https://fidelityinternational.tal.net/vx/lang-en-GB/mobile-0/brand-5/xf-906bc4a6d932/candidate/so/pm/1/pl/1/opp/1408-Sustainable-Investing-Summer-Internship-2027-London/en-GB?utm_source=Trackr&amp;utm_medium=tracker&amp;utm_campaign=UK_Finance_2027" TargetMode="External" Id="rId10"/><Relationship Type="http://schemas.openxmlformats.org/officeDocument/2006/relationships/hyperlink" Target="https://blackstone.wd1.myworkdayjobs.com/en-US/Blackstone_Campus_Careers/job/XMLNAME-2027-EMEA-Future-Leaders-Spring-Insight-Programme_45529?utm_source=Trackr&amp;utm_medium=tracker&amp;utm_campaign=UK_Finance_2027&amp;source=Trackr" TargetMode="External" Id="rId11"/><Relationship Type="http://schemas.openxmlformats.org/officeDocument/2006/relationships/hyperlink" Target="https://global.cfainstituteevents.org/event/c1f2c68c-a6ac-40ec-b263-3e792e529dd8/summary?RefId=AmplifyME%20Reg&amp;rt=c-c35ftBF0OzRG1zwrtwAw&amp;utm_content=385180984&amp;utm_medium=social&amp;utm_source=linkedin&amp;hss_channel=lcp-68777274" TargetMode="External" Id="rId12"/><Relationship Type="http://schemas.openxmlformats.org/officeDocument/2006/relationships/hyperlink" Target="https://jefferies.tal.net/vx/lang-en-GB/mobile-0/appcentre-1/brand-4/candidate/so/pm/1/pl/2/opp/1930-2027-Equities-Sales-and-Trading-Summer-Internship-Programme-London/en-GB?utm_source=Trackr&amp;utm_medium=tracker&amp;utm_campaign=UK_Finance_2027" TargetMode="External" Id="rId13"/><Relationship Type="http://schemas.openxmlformats.org/officeDocument/2006/relationships/hyperlink" Target="https://nomuracampus.tal.net/vx/lang-en-GB/mobile-0/appcentre-1/brand-4/user-598163/xf-1181ef381c7b/candidate/so/pm/1/pl/1/opp/1548-2027-Global-Markets-Summer-Internship-Securitised-Products-and-Private-Credit-Trading-Structuring-London-For-2028-Graduates/en-GB?utm_source=Trackr&amp;utm_medium=tracker&amp;utm_campaign=UK_Finance_2027" TargetMode="External" Id="rId14"/><Relationship Type="http://schemas.openxmlformats.org/officeDocument/2006/relationships/hyperlink" Target="https://jpmc.fa.oraclecloud.com/hcmUI/CandidateExperience/en/sites/CX_1001/jobs?utm_source=Trackr&amp;utm_medium=tracker&amp;utm_campaign=UK_Finance_2027&amp;iis=Trackr&amp;sType=Trackr&amp;keyword=summer+internship+%22corporate+functions%22&amp;location=United+Kingdom&amp;locationId=300000000289276&amp;locationLevel=country&amp;mode=location" TargetMode="External" Id="rId15"/><Relationship Type="http://schemas.openxmlformats.org/officeDocument/2006/relationships/hyperlink" Target="https://jefferies.tal.net/vx/lang-en-GB/mobile-0/appcentre-1/brand-4/candidate/so/pm/1/pl/2/opp/1928-2027-Private-Credit-Investment-Summer-Internship-Programme-London/en-GB?utm_source=Trackr&amp;utm_medium=tracker&amp;utm_campaign=UK_Finance_2027" TargetMode="External" Id="rId16"/><Relationship Type="http://schemas.openxmlformats.org/officeDocument/2006/relationships/hyperlink" Target="https://recruitment.macquarie.com/en_US/careers/JobDetail?jobId=23632&amp;utm_source=Trackr&amp;utm_medium=tracker&amp;utm_campaign=UK_Finance_2027" TargetMode="External" Id="rId17"/><Relationship Type="http://schemas.openxmlformats.org/officeDocument/2006/relationships/hyperlink" Target="https://db.recsolu.com/external/requisitions/LfT_-o3NuRWBauJ393Re6A?utm_source=Trackr&amp;utm_medium=tracker&amp;utm_campaign=UK_Finance_2027" TargetMode="External" Id="rId18"/><Relationship Type="http://schemas.openxmlformats.org/officeDocument/2006/relationships/hyperlink" Target="https://www.grb.uk.com/internships/mizuho-banking-global-markets-summer-internship-london-37880/?utm_source=Trackr&amp;utm_medium=tracker&amp;utm_campaign=UK_Finance_2027" TargetMode="External" Id="rId19"/><Relationship Type="http://schemas.openxmlformats.org/officeDocument/2006/relationships/hyperlink" Target="https://www.grb.uk.com/internships/mizuho-banking-banking-summer-internship-london-37876/?utm_source=Trackr&amp;utm_medium=tracker&amp;utm_campaign=UK_Finance_2027" TargetMode="External" Id="rId20"/><Relationship Type="http://schemas.openxmlformats.org/officeDocument/2006/relationships/hyperlink" Target="https://mufgub.wd3.myworkdayjobs.com/en-US/MUFG-EarlyCareers/job/XMLNAME-2027-MUFG-UK-Summer-Analyst-Programme--Structured-Trading-Group_10079356-WD?utm_source=Trackr&amp;utm_medium=tracker&amp;utm_campaign=UK_Finance_2027&amp;source=Trackr" TargetMode="External" Id="rId21"/><Relationship Type="http://schemas.openxmlformats.org/officeDocument/2006/relationships/hyperlink" Target="https://fidelityinternational.tal.net/vx/lang-en-GB/mobile-0/brand-5/xf-906bc4a6d932/candidate/so/pm/1/pl/1/opp/1409-Fixed-Income-Summer-Internship-Programme-2027-London/en-GB?utm_source=Trackr&amp;utm_medium=tracker&amp;utm_campaign=UK_Finance_2027" TargetMode="External" Id="rId22"/><Relationship Type="http://schemas.openxmlformats.org/officeDocument/2006/relationships/hyperlink" Target="https://morganstanley.tal.net/vx/lang-en-GB/mobile-0/brand-2/user-5764832/xf-854c2833f441/candidate/so/pm/1/pl/1/opp/21505-2027-Internal-Audit-Summer-Analyst-Programme-London/en-GB?utm_source=Trackr&amp;utm_medium=tracker&amp;utm_campaign=UK_Finance_2027" TargetMode="External" Id="rId23"/><Relationship Type="http://schemas.openxmlformats.org/officeDocument/2006/relationships/hyperlink" Target="https://db.recsolu.com/external/requisitions/UTZlPBkbaMEeBG_Pn_V1Uw?utm_source=Trackr&amp;utm_medium=tracker&amp;utm_campaign=UK_Finance_2027" TargetMode="External" Id="rId24"/><Relationship Type="http://schemas.openxmlformats.org/officeDocument/2006/relationships/hyperlink" Target="https://nomuracampus.tal.net/vx/lang-en-GB/mobile-0/appcentre-1/brand-4/user-598163/xf-1181ef381c7b/candidate/so/pm/1/pl/1/opp/1449-2027-Global-Markets-Sales-Trading-Structuring-Research-Summer-Internship-London-for-2028-Graduates/en-GB?utm_source=Trackr&amp;utm_medium=tracker&amp;utm_campaign=UK_Finance_2027" TargetMode="External" Id="rId25"/><Relationship Type="http://schemas.openxmlformats.org/officeDocument/2006/relationships/hyperlink" Target="https://jobs.smartrecruiters.com/Wiser/744000143772490-private-capital-advisory-gp-advisory-summer-internship-evercore?utm_source=Trackr&amp;utm_medium=tracker&amp;utm_campaign=UK_Finance_2027&amp;trid=Trackr&amp;dcr_ci=Trackr" TargetMode="External" Id="rId26"/><Relationship Type="http://schemas.openxmlformats.org/officeDocument/2006/relationships/hyperlink" Target="https://jpmc.fa.oraclecloud.com/hcmUI/CandidateExperience/en/sites/CX_1001/job/210780476/?utm_source=Trackr&amp;utm_medium=tracker&amp;utm_campaign=UK_Finance_2027&amp;iis=Trackr&amp;sType=Trackr" TargetMode="External" Id="rId27"/><Relationship Type="http://schemas.openxmlformats.org/officeDocument/2006/relationships/hyperlink" Target="https://fidelityinternational.tal.net/vx/lang-en-GB/mobile-0/brand-5/xf-906bc4a6d932/candidate/so/pm/1/pl/1/opp/1405-Equity-Research-Summer-Internship-Programme-2027-London/en-GB?utm_source=Trackr&amp;utm_medium=tracker&amp;utm_campaign=UK_Finance_2027" TargetMode="External" Id="rId28"/><Relationship Type="http://schemas.openxmlformats.org/officeDocument/2006/relationships/hyperlink" Target="https://job-boards.greenhouse.io/liontree/jobs/5213296007?utm_source=Trackr&amp;utm_medium=tracker&amp;utm_campaign=UK_Finance_2027&amp;gh_src=Trackr" TargetMode="External" Id="rId29"/><Relationship Type="http://schemas.openxmlformats.org/officeDocument/2006/relationships/hyperlink" Target="https://thinkbrg.wd5.myworkdayjobs.com/BRG_External_Career_Site/job/London-UK/Intern---Economics--Disputes-and-Investigations_JR101105?source=Trackr&amp;utm_source=Trackr&amp;utm_medium=tracker&amp;utm_campaign=UK_Finance_2027" TargetMode="External" Id="rId30"/><Relationship Type="http://schemas.openxmlformats.org/officeDocument/2006/relationships/hyperlink" Target="https://jefferies.tal.net/vx/lang-en-GB/mobile-0/appcentre-1/brand-4/candidate/so/pm/1/pl/2/opp/1929-2027-Equity-Research-Summer-Internship-Programme-London/en-GB?utm_source=Trackr&amp;utm_medium=tracker&amp;utm_campaign=UK_Finance_2027" TargetMode="External" Id="rId31"/><Relationship Type="http://schemas.openxmlformats.org/officeDocument/2006/relationships/hyperlink" Target="https://rothschildandco.tal.net/vx/lang-en-GB/mobile-0/appcentre-ext/brand-4/xf-d1e4b70a3b97/candidate/jobboard/vacancy/2/adv/?f_Item_Opportunity_78763_lk=523763&amp;f_Item_Opportunity_132775_lk=523903&amp;f_Item_Opportunity_60426_lk=520148&amp;utm_source=Trackr&amp;utm_medium=tracker&amp;utm_campaign=UK_Finance_2027" TargetMode="External" Id="rId32"/><Relationship Type="http://schemas.openxmlformats.org/officeDocument/2006/relationships/hyperlink" Target="https://group.bnpparibas/en/careers/all-job-offers/trainee-internship/london?utm_source=Trackr&amp;utm_medium=tracker&amp;utm_campaign=UK_Finance_2027" TargetMode="External" Id="rId33"/><Relationship Type="http://schemas.openxmlformats.org/officeDocument/2006/relationships/hyperlink" Target="https://www.quantbot.com/careers/?gh_jid=4299863009&amp;utm_source=Trackr&amp;utm_medium=tracker&amp;utm_campaign=UK_Finance_2027&amp;gh_src=Trackr" TargetMode="External" Id="rId34"/><Relationship Type="http://schemas.openxmlformats.org/officeDocument/2006/relationships/hyperlink" Target="https://tower-research.com/open-positions/?gh_jid=8037860&amp;utm_source=Trackr&amp;utm_medium=tracker&amp;utm_campaign=UK_Finance_2027&amp;gh_src=Trackr" TargetMode="External" Id="rId35"/><Relationship Type="http://schemas.openxmlformats.org/officeDocument/2006/relationships/hyperlink" Target="https://recruitment.macquarie.com/en_US/careers/JobDetail?jobId=23633&amp;utm_source=Trackr&amp;utm_medium=tracker&amp;utm_campaign=UK_Finance_2027" TargetMode="External" Id="rId36"/><Relationship Type="http://schemas.openxmlformats.org/officeDocument/2006/relationships/hyperlink" Target="https://jpmc.fa.oraclecloud.com/hcmUI/CandidateExperience/en/sites/CX_1001/job/210775295/?utm_source=Trackr&amp;utm_medium=tracker&amp;utm_campaign=UK_Finance_2027&amp;iis=Trackr&amp;sType=Trackr" TargetMode="External" Id="rId37"/><Relationship Type="http://schemas.openxmlformats.org/officeDocument/2006/relationships/hyperlink" Target="https://grnh.se/bytkm3y62us?utm_source=Trackr&amp;utm_medium=tracker&amp;utm_campaign=UK_Finance_2027" TargetMode="External" Id="rId38"/><Relationship Type="http://schemas.openxmlformats.org/officeDocument/2006/relationships/hyperlink" Target="https://nomuracampus.tal.net/vx/lang-en-GB/mobile-0/appcentre-1/brand-4/user-598163/xf-1181ef381c7b/candidate/so/pm/1/pl/1/opp/1451-2027-Global-Markets-Digital-Office-Summer-Internship-Quants-Strats-London-For-2028-Graduates/en-GB?utm_source=Trackr&amp;utm_medium=tracker&amp;utm_campaign=UK_Finance_2027" TargetMode="External" Id="rId39"/><Relationship Type="http://schemas.openxmlformats.org/officeDocument/2006/relationships/hyperlink" Target="https://capgroup.wd1.myworkdayjobs.com/en-US/capitalgroupcareers/job/CAP-Summer-Associate---Europe--2027-_JR7201?utm_source=Trackr&amp;utm_medium=tracker&amp;utm_campaign=UK_Finance_2027&amp;source=Trackr" TargetMode="External" Id="rId40"/><Relationship Type="http://schemas.openxmlformats.org/officeDocument/2006/relationships/hyperlink" Target="https://db.recsolu.com/external/requisitions/ToaTYkvg_PZKQ6Jnlh1P4w?utm_source=Trackr&amp;utm_medium=tracker&amp;utm_campaign=UK_Finance_2027" TargetMode="External" Id="rId41"/><Relationship Type="http://schemas.openxmlformats.org/officeDocument/2006/relationships/hyperlink" Target="https://nomuracampus.tal.net/vx/lang-en-GB/mobile-0/appcentre-1/brand-4/user-598163/xf-1181ef381c7b/candidate/so/pm/1/pl/1/opp/1427-2027-Investment-Banking-Coverage-Advisory-Summer-Internship-London/en-GB?utm_source=Trackr&amp;utm_medium=tracker&amp;utm_campaign=UK_Finance_2027" TargetMode="External" Id="rId42"/><Relationship Type="http://schemas.openxmlformats.org/officeDocument/2006/relationships/hyperlink" Target="https://app.the-trackr.com/job/1fd4c548-7e27-4439-afbc-02c0c5378eab?utm_source=Trackr&amp;utm_medium=tracker&amp;utm_campaign=UK_Finance_2027" TargetMode="External" Id="rId43"/><Relationship Type="http://schemas.openxmlformats.org/officeDocument/2006/relationships/hyperlink" Target="https://careers.marsh.com/global/en/job/R_363208/NERA-Summer-Intern-2027-London" TargetMode="External" Id="rId44"/><Relationship Type="http://schemas.openxmlformats.org/officeDocument/2006/relationships/hyperlink" Target="https://pnc.wd5.myworkdayjobs.com/en-US/HarrisWilliams/job/XMLNAME-2027-Summer-Analyst--London_R233025?utm_source=Trackr&amp;utm_medium=tracker&amp;utm_campaign=UK_Finance_2027&amp;source=Trackr" TargetMode="External" Id="rId45"/><Relationship Type="http://schemas.openxmlformats.org/officeDocument/2006/relationships/hyperlink" Target="https://wd1.myworkdaysite.com/en-US/recruiting/wf/WellsFargoJobs/job/EMEA-Banking-Summer-Analyst_R-570654-1?utm_source=Trackr&amp;utm_medium=tracker&amp;utm_campaign=UK_Finance_2027" TargetMode="External" Id="rId46"/><Relationship Type="http://schemas.openxmlformats.org/officeDocument/2006/relationships/hyperlink" Target="https://www.qube-rt.com/careers/job?gh_jid=8785833002&amp;utm_source=Trackr&amp;utm_medium=tracker&amp;utm_campaign=UK_Finance_2027&amp;gh_src=Trackr" TargetMode="External" Id="rId47"/><Relationship Type="http://schemas.openxmlformats.org/officeDocument/2006/relationships/hyperlink" Target="https://hl.wd1.myworkdayjobs.com/en-US/Campus/job/XMLNAME-2027-Summer-Financial-Analyst---Capital-Solutions--London_R3517?utm_source=Trackr&amp;utm_medium=tracker&amp;utm_campaign=UK_Finance_2027&amp;source=Trackr" TargetMode="External" Id="rId48"/><Relationship Type="http://schemas.openxmlformats.org/officeDocument/2006/relationships/hyperlink" Target="https://www.deshaw.com/careers/internships?utm_source=Trackr&amp;utm_medium=tracker&amp;utm_campaign=UK_Finance_2027&amp;source=Trackr" TargetMode="External" Id="rId49"/><Relationship Type="http://schemas.openxmlformats.org/officeDocument/2006/relationships/hyperlink" Target="https://pjtpartners.wd1.myworkdayjobs.com/en-US/Students/job/XMLNAME-2027-Summer-Analyst--Strategic-Advisory---Restructuring--London_R0003510?utm_source=Trackr&amp;utm_medium=tracker&amp;utm_campaign=UK_Finance_2027&amp;source=Trackr" TargetMode="External" Id="rId50"/><Relationship Type="http://schemas.openxmlformats.org/officeDocument/2006/relationships/hyperlink" Target="https://www.grb.uk.com/internships/mizuho-banking-finance-summer-internship-london-37879/?utm_source=Trackr&amp;utm_medium=tracker&amp;utm_campaign=UK_Finance_2027" TargetMode="External" Id="rId51"/><Relationship Type="http://schemas.openxmlformats.org/officeDocument/2006/relationships/hyperlink" Target="https://www.kpmgcareers.co.uk/search/vacancies/?experienceLevels%5B0%5D=Vacation&amp;intakeType=Student&amp;page=1&amp;utm_source=Trackr&amp;utm_medium=tracker&amp;utm_campaign=UK_Finance_2027" TargetMode="External" Id="rId52"/><Relationship Type="http://schemas.openxmlformats.org/officeDocument/2006/relationships/hyperlink" Target="https://jobs.ashbyhq.com/blocktech/b170f716-113b-4e6e-a883-473f3cabf062?utm_source=rpvOOX7L1z&amp;utm_medium=tracker&amp;utm_campaign=UK_Finance_2027" TargetMode="External" Id="rId53"/><Relationship Type="http://schemas.openxmlformats.org/officeDocument/2006/relationships/hyperlink" Target="https://xycapital.careers.hibob.com/jobs/6f65a9e5-950f-42c3-b0bb-31a00483fdc4?utm_source=Trackr&amp;utm_medium=tracker&amp;utm_campaign=UK_Finance_2027" TargetMode="External" Id="rId54"/><Relationship Type="http://schemas.openxmlformats.org/officeDocument/2006/relationships/hyperlink" Target="https://www.squarepoint-capital.com/open-opportunities?utm_source=Trackr&amp;utm_medium=tracker&amp;utm_campaign=UK_Finance_2027&amp;lvl=Internship&amp;loc=14632" TargetMode="External" Id="rId55"/><Relationship Type="http://schemas.openxmlformats.org/officeDocument/2006/relationships/hyperlink" Target="https://job-boards.greenhouse.io/aquaticcapitalmanagement/jobs/8489186002?utm_source=Trackr&amp;utm_medium=tracker&amp;utm_campaign=UK_Finance_2027&amp;gh_src=Trackr" TargetMode="External" Id="rId56"/><Relationship Type="http://schemas.openxmlformats.org/officeDocument/2006/relationships/hyperlink" Target="https://job-boards.eu.greenhouse.io/imc?utm_source=Trackr&amp;utm_medium=tracker&amp;utm_campaign=UK_Finance_2027&amp;gh_src=Trackr&amp;keyword=trader+intern&amp;offices%5B%5D=4012435101" TargetMode="External" Id="rId57"/><Relationship Type="http://schemas.openxmlformats.org/officeDocument/2006/relationships/hyperlink" Target="https://edftrading.wd1.myworkdayjobs.com/en-US/EDFTrading/job/Summer-Internship_JR1001184?source=Trackr" TargetMode="External" Id="rId58"/><Relationship Type="http://schemas.openxmlformats.org/officeDocument/2006/relationships/hyperlink" Target="https://apptrkr.io/qatalyst-partners/intern-campaign-2027?utm_source=Trackr&amp;utm_medium=tracker&amp;utm_campaign=UK_Finance_2027" TargetMode="External" Id="rId59"/><Relationship Type="http://schemas.openxmlformats.org/officeDocument/2006/relationships/hyperlink" Target="https://jobs.ubs.com/TGnewUI/Search/home/HomeWithPreLoad?utm_source=Trackr&amp;utm_medium=tracker&amp;utm_campaign=UK_Finance_2027&amp;partnerid=25008&amp;siteid=5131&amp;PageType=searchResults&amp;SearchType=linkquery&amp;LinkID=15232" TargetMode="External" Id="rId60"/><Relationship Type="http://schemas.openxmlformats.org/officeDocument/2006/relationships/hyperlink" Target="https://morganstanley.tal.net/vx/lang-en-GB/mobile-0/brand-2/user-5764832/xf-854c2833f441/candidate/so/pm/1/pl/1/opp/21502-2027-Sales-Trading-Summer-Analyst-Programme-London/en-GB?utm_source=Trackr&amp;utm_medium=tracker&amp;utm_campaign=UK_Finance_2027" TargetMode="External" Id="rId61"/><Relationship Type="http://schemas.openxmlformats.org/officeDocument/2006/relationships/hyperlink" Target="https://jobs.standardchartered.com/search/?utm_source=Trackr&amp;utm_medium=tracker&amp;utm_campaign=UK_Finance_2027&amp;q=%22intern+uk+2027%22&amp;skillsSearch=false&amp;facetFilters=%7B%7D&amp;pageNumber=0" TargetMode="External" Id="rId62"/><Relationship Type="http://schemas.openxmlformats.org/officeDocument/2006/relationships/hyperlink" Target="https://wd1.myworkdaysite.com/en-US/recruiting/baird/Careers/job/XMLNAME-2027-Global-Investment-Banking---M-A-London-Summer-Internship_R2026974?utm_source=Trackr&amp;utm_medium=tracker&amp;utm_campaign=UK_Finance_2027" TargetMode="External" Id="rId63"/><Relationship Type="http://schemas.openxmlformats.org/officeDocument/2006/relationships/hyperlink" Target="https://www.williamblair.com/Careers/job-description?utm_source=Trackr&amp;utm_medium=tracker&amp;utm_campaign=UK_Finance_2027&amp;gh_jid=5221129007&amp;gh_src=Trackr" TargetMode="External" Id="rId64"/><Relationship Type="http://schemas.openxmlformats.org/officeDocument/2006/relationships/hyperlink" Target="https://grnh.se/crd9x232teu?utm_source=Trackr&amp;utm_medium=tracker&amp;utm_campaign=UK_Finance_2027" TargetMode="External" Id="rId65"/><Relationship Type="http://schemas.openxmlformats.org/officeDocument/2006/relationships/hyperlink" Target="https://www.lincolninternational.com/greenhouse/?gh_jid=8177099&amp;utm_source=Trackr&amp;utm_medium=tracker&amp;utm_campaign=UK_Finance_2027&amp;gh_src=Trackr" TargetMode="External" Id="rId66"/><Relationship Type="http://schemas.openxmlformats.org/officeDocument/2006/relationships/hyperlink" Target="https://morganstanley.tal.net/vx/lang-en-GB/mobile-0/brand-2/user-5764832/xf-854c2833f441/candidate/so/pm/1/pl/1/opp/21776-2027-Global-Capital-Markets-Summer-Analyst-Programme-London/en-GB?utm_source=Trackr&amp;utm_medium=tracker&amp;utm_campaign=UK_Finance_2027" TargetMode="External" Id="rId67"/><Relationship Type="http://schemas.openxmlformats.org/officeDocument/2006/relationships/hyperlink" Target="https://apptrkr.io/atlas-holdings/atlas-holdings-summer-internship-campaign-2027?utm_source=Trackr&amp;utm_medium=tracker&amp;utm_campaign=UK_Finance_2027" TargetMode="External" Id="rId68"/><Relationship Type="http://schemas.openxmlformats.org/officeDocument/2006/relationships/hyperlink" Target="https://job-boards.greenhouse.io/embed/job_board?for=jumptrading&amp;offices%5B%5D=58179&amp;offices%5B%5D=2448&amp;keyword=quantitative+intern&amp;utm_source=Trackr&amp;utm_medium=tracker&amp;utm_campaign=UK_Finance_2027&amp;gh_src=Trackr" TargetMode="External" Id="rId69"/><Relationship Type="http://schemas.openxmlformats.org/officeDocument/2006/relationships/hyperlink" Target="https://job-boards.greenhouse.io/embed/job_app?for=gsacapital&amp;token=8518528002&amp;utm_source=Trackr&amp;utm_medium=tracker&amp;utm_campaign=UK_Finance_2027&amp;gh_src=Trackr" TargetMode="External" Id="rId70"/><Relationship Type="http://schemas.openxmlformats.org/officeDocument/2006/relationships/hyperlink" Target="https://hl.wd1.myworkdayjobs.com/en-US/Campus/job/XMLNAME-2027-Summer-Financial-Analyst---Corporate-Finance--M-A-_R3564?utm_source=Trackr&amp;utm_medium=tracker&amp;utm_campaign=UK_Finance_2027&amp;source=Trackr" TargetMode="External" Id="rId71"/><Relationship Type="http://schemas.openxmlformats.org/officeDocument/2006/relationships/hyperlink" Target="https://hyperiongrp.wd3.myworkdayjobs.com/en-US/Hyperion_External/jobs?utm_source=Trackr&amp;utm_medium=tracker&amp;utm_campaign=UK_Finance_2027&amp;source=Trackr&amp;locationCountry=29247e57dbaf46fb855b224e03170bc7&amp;workerSubType=cd3fc549fd3f1059499fa58cc52b1339" TargetMode="External" Id="rId72"/><Relationship Type="http://schemas.openxmlformats.org/officeDocument/2006/relationships/hyperlink" Target="https://franklintempleton.wd5.myworkdayjobs.com/en-US/Invitation-Only/details/UK-Summer-Intern---London---Investment-Management_869326?utm_source=Trackr&amp;utm_medium=tracker&amp;utm_campaign=UK_Finance_2027&amp;source=Trackr&amp;q=%22summer+intern%22&amp;locationCountry=29247e57dbaf46fb855b224e03170bc7" TargetMode="External" Id="rId73"/><Relationship Type="http://schemas.openxmlformats.org/officeDocument/2006/relationships/hyperlink" Target="https://inverto.dvinci-hr.com/en/jobs/77/summer-internship-procurement-supply-chain-consulting?Source=Trackr&amp;utm_source=Trackr&amp;utm_medium=tracker&amp;utm_campaign=UK_Finance_2027" TargetMode="External" Id="rId74"/><Relationship Type="http://schemas.openxmlformats.org/officeDocument/2006/relationships/hyperlink" Target="https://grnh.se/q1m7aqng1us?utm_source=Trackr&amp;utm_medium=tracker&amp;utm_campaign=UK_Finance_2027" TargetMode="External" Id="rId75"/><Relationship Type="http://schemas.openxmlformats.org/officeDocument/2006/relationships/hyperlink" Target="https://gic.careers/programmes/gic-internship-programme/?utm_source=Trackr&amp;utm_medium=tracker&amp;utm_campaign=UK_Finance_2027" TargetMode="External" Id="rId76"/><Relationship Type="http://schemas.openxmlformats.org/officeDocument/2006/relationships/hyperlink" Target="https://www.revolut.com/careers/position/internship-programme-2027-strategy-operations-manager-aa3cc201-5808-4d7e-ba8e-e82e443d90d3/?utm_source=Trackr&amp;utm_medium=tracker&amp;utm_campaign=UK_Finance_2027" TargetMode="External" Id="rId77"/><Relationship Type="http://schemas.openxmlformats.org/officeDocument/2006/relationships/hyperlink" Target="https://www.wincent.com/careers/quantitative-research-internship-quant-research-trading-starting-summer-2027/?utm_source=Trackr&amp;utm_medium=tracker&amp;utm_campaign=UK_Finance_2027&amp;source=Trackr" TargetMode="External" Id="rId78"/><Relationship Type="http://schemas.openxmlformats.org/officeDocument/2006/relationships/hyperlink" Target="https://www.grb.uk.com/internships/mizuho-banking-global-transaction-banking-summer-internship-london-37881/?utm_source=Trackr&amp;utm_medium=tracker&amp;utm_campaign=UK_Finance_2027" TargetMode="External" Id="rId79"/><Relationship Type="http://schemas.openxmlformats.org/officeDocument/2006/relationships/hyperlink" Target="https://jobs.lever.co/raine/a8066f8c-2bc2-415b-9d04-70daf6b4edca?utm_source=Trackr&amp;utm_medium=tracker&amp;utm_campaign=UK_Finance_2027&amp;lever-source=Trackr" TargetMode="External" Id="rId80"/><Relationship Type="http://schemas.openxmlformats.org/officeDocument/2006/relationships/hyperlink" Target="https://jpmc.fa.oraclecloud.com/hcmUI/CandidateExperience/en/sites/CX_1001/job/210775320/?utm_source=Trackr&amp;utm_medium=tracker&amp;utm_campaign=UK_Finance_2027&amp;iis=Trackr&amp;sType=Trackr" TargetMode="External" Id="rId81"/><Relationship Type="http://schemas.openxmlformats.org/officeDocument/2006/relationships/hyperlink" Target="https://hyperiongrp.wd3.myworkdayjobs.com/en-US/Hyperion_External/job/Investment-Banking-Summer-Analyst-Internship-2027_R0019274?utm_source=Trackr&amp;utm_medium=tracker&amp;utm_campaign=UK_Finance_2027&amp;source=Trackr" TargetMode="External" Id="rId82"/><Relationship Type="http://schemas.openxmlformats.org/officeDocument/2006/relationships/hyperlink" Target="https://job-boards.greenhouse.io/rothesaygraduates/jobs/8784142002?utm_source=Trackr&amp;utm_medium=tracker&amp;utm_campaign=UK_Finance_2027&amp;gh_src=Trackr" TargetMode="External" Id="rId83"/><Relationship Type="http://schemas.openxmlformats.org/officeDocument/2006/relationships/hyperlink" Target="https://patrizia.wd502.myworkdayjobs.com/en-US/PATRIZIA/job/Student-Analyst---Investment-Technology---Real-Estate--Part-time--m-f-d-_R2409?utm_source=Trackr&amp;utm_medium=tracker&amp;utm_campaign=UK_Finance_2027&amp;source=Trackr" TargetMode="External" Id="rId84"/><Relationship Type="http://schemas.openxmlformats.org/officeDocument/2006/relationships/hyperlink" Target="https://www.janestreet.com/join-jane-street/open-roles/?utm_source=Trackr&amp;utm_medium=tracker&amp;utm_campaign=UK_Finance_2027&amp;type=internship&amp;location=london" TargetMode="External" Id="rId85"/><Relationship Type="http://schemas.openxmlformats.org/officeDocument/2006/relationships/hyperlink" Target="https://job-boards.greenhouse.io/ctccampusboard/jobs/4709545005?utm_source=Trackr&amp;utm_medium=tracker&amp;utm_campaign=UK_Finance_2027&amp;gh_src=Trackr" TargetMode="External" Id="rId86"/><Relationship Type="http://schemas.openxmlformats.org/officeDocument/2006/relationships/hyperlink" Target="https://higher.gs.com/campus?utm_source=Trackr&amp;utm_medium=tracker&amp;utm_campaign=UK_Finance_2027&amp;EXPERIENCE_LEVEL=Summer+Analyst&amp;LOCATION=Birmingham%7CLondon&amp;page=1&amp;sort=RELEVANCE" TargetMode="External" Id="rId87"/><Relationship Type="http://schemas.openxmlformats.org/officeDocument/2006/relationships/hyperlink" Target="https://careers.americanexpress.com/en/sites/CX_1/jobs?keyword=%22internship+programme%22&amp;location=United+Kingdom&amp;locationId=300000000228702&amp;locationLevel=country&amp;mode=location&amp;utm_source=Trackr&amp;utm_medium=tracker&amp;utm_campaign=UK_Finance_2027" TargetMode="External" Id="rId88"/><Relationship Type="http://schemas.openxmlformats.org/officeDocument/2006/relationships/hyperlink" Target="https://pod2.app.loxo.co/job/MzgwNDIteDQzM2RvbDUwdXQxcjQyNQ==?utm_source=Trackr&amp;utm_medium=tracker&amp;utm_campaign=UK_Finance_2027" TargetMode="External" Id="rId89"/><Relationship Type="http://schemas.openxmlformats.org/officeDocument/2006/relationships/hyperlink" Target="https://blackstone.wd1.myworkdayjobs.com/en-US/Blackstone_Campus_Careers?utm_source=Trackr&amp;utm_medium=tracker&amp;utm_campaign=UK_Finance_2027&amp;source=Trackr&amp;q=2027+summer&amp;locations=ef375a2335bb019369c586065e1f3d2b" TargetMode="External" Id="rId90"/><Relationship Type="http://schemas.openxmlformats.org/officeDocument/2006/relationships/hyperlink" Target="https://jpmc.fa.oraclecloud.com/hcmUI/CandidateExperience/en/sites/CX_1001/job/210774281/?utm_source=Trackr&amp;utm_medium=tracker&amp;utm_campaign=UK_Finance_2027&amp;iis=Trackr&amp;sType=Trackr" TargetMode="External" Id="rId91"/><Relationship Type="http://schemas.openxmlformats.org/officeDocument/2006/relationships/hyperlink" Target="https://wd1.myworkdaysite.com/en-US/recruiting/fmr/FidelityCareers/job/Summer-2027-Equity-Research-Associate-Intern---London_2129754-1?utm_source=Trackr&amp;utm_medium=tracker&amp;utm_campaign=UK_Finance_2027" TargetMode="External" Id="rId92"/><Relationship Type="http://schemas.openxmlformats.org/officeDocument/2006/relationships/hyperlink" Target="https://job-boards.greenhouse.io/mwinternshipprogram/jobs/8772688002?utm_source=Trackr&amp;utm_medium=tracker&amp;utm_campaign=UK_Finance_2027&amp;gh_src=Trackr" TargetMode="External" Id="rId93"/><Relationship Type="http://schemas.openxmlformats.org/officeDocument/2006/relationships/hyperlink" Target="https://job-boards.greenhouse.io/rothesaygraduates/jobs/8811533002?utm_source=Trackr&amp;utm_medium=tracker&amp;utm_campaign=UK_Finance_2027&amp;gh_src=Trackr" TargetMode="External" Id="rId94"/><Relationship Type="http://schemas.openxmlformats.org/officeDocument/2006/relationships/hyperlink" Target="https://rothschildandco.tal.net/vx/lang-en-GB/mobile-0/appcentre-ext/brand-4/xf-d1e4b70a3b97/candidate/jobboard/vacancy/2/adv/?utm_source=Trackr&amp;utm_medium=tracker&amp;utm_campaign=UK_Finance_2027&amp;f_Item_Opportunity_78763_lk=523763&amp;f_Item_Opportunity_132775_lk=519868&amp;f_Item_Opportunity_60426_lk=520148" TargetMode="External" Id="rId95"/><Relationship Type="http://schemas.openxmlformats.org/officeDocument/2006/relationships/hyperlink" Target="https://mufgub.wd3.myworkdayjobs.com/en-US/MUFG-EarlyCareers/job/XMLNAME-2027-MUFG-UK-Summer-Analyst-Programme--Japanese-Corporate-Banking_10079266-WD?utm_source=Trackr&amp;utm_medium=tracker&amp;utm_campaign=UK_Finance_2027&amp;source=Trackr" TargetMode="External" Id="rId96"/><Relationship Type="http://schemas.openxmlformats.org/officeDocument/2006/relationships/hyperlink" Target="https://app-accuracy.bc.direct/recruitment/career/5ee62d016b800f0fc8e70d1c/6a905afb6734cf4a41487373?utm_source=Trackr&amp;utm_medium=tracker&amp;utm_campaign=UK_Finance_2027" TargetMode="External" Id="rId97"/><Relationship Type="http://schemas.openxmlformats.org/officeDocument/2006/relationships/hyperlink" Target="https://www.careers.zurich.com/search/?createNewAlert=false&amp;q=&amp;locationsearch=&amp;optionsFacetsDD_shifttype=Intern%2FTrainee&amp;optionsFacetsDD_department=&amp;optionsFacetsDD_customfield3=United+Kingdom&amp;utm_source=Trackr&amp;utm_medium=tracker&amp;utm_campaign=UK_Finance_2027" TargetMode="External" Id="rId98"/><Relationship Type="http://schemas.openxmlformats.org/officeDocument/2006/relationships/hyperlink" Target="https://careers.sig.com/jobs?utm_source=Trackr&amp;utm_medium=tracker&amp;utm_campaign=UK_Finance_2027&amp;page=1&amp;categories=Interns+%2B+Co-ops%7CStudent+Discovery+Program&amp;limit=100&amp;locations=Dublin%2C%2CIreland%7CLondon%2C%2CUnited+Kingdom" TargetMode="External" Id="rId99"/><Relationship Type="http://schemas.openxmlformats.org/officeDocument/2006/relationships/hyperlink" Target="https://job-boards.greenhouse.io/xantium/jobs/4371217009?utm_source=Trackr&amp;utm_medium=tracker&amp;utm_campaign=UK_Finance_2027&amp;gh_src=Trackr" TargetMode="External" Id="rId100"/><Relationship Type="http://schemas.openxmlformats.org/officeDocument/2006/relationships/hyperlink" Target="https://jpmc.fa.oraclecloud.com/hcmUI/CandidateExperience/en/sites/CX_1001/job/210775710/?utm_source=Trackr&amp;utm_medium=tracker&amp;utm_campaign=UK_Finance_2027&amp;iis=Trackr&amp;sType=Trackr" TargetMode="External" Id="rId101"/><Relationship Type="http://schemas.openxmlformats.org/officeDocument/2006/relationships/hyperlink" Target="https://jefferies.tal.net/vx/lang-en-GB/mobile-0/appcentre-1/brand-4/user-415213/xf-5ac368c85a0a/candidate/so/pm/1/pl/2/opp/1986-2027-Risk-Management-Summer-Internship-Programme-London/en-GB?utm_source=Trackr&amp;utm_medium=tracker&amp;utm_campaign=UK_Finance_2027" TargetMode="External" Id="rId102"/><Relationship Type="http://schemas.openxmlformats.org/officeDocument/2006/relationships/hyperlink" Target="https://moelis-careers.tal.net/vx/lang-en-GB/mobile-0/appcentre-1/brand-4/xf-36ff0d3487ce/candidate/so/pm/1/pl/2/opp/391-2027-Summer-Analyst-Investment-Banking-London/en-GB?utm_source=Trackr&amp;utm_medium=tracker&amp;utm_campaign=UK_Finance_2027" TargetMode="External" Id="rId103"/><Relationship Type="http://schemas.openxmlformats.org/officeDocument/2006/relationships/hyperlink" Target="https://job-boards.eu.greenhouse.io/mangroup/jobs/4969143101?utm_source=Trackr&amp;utm_medium=tracker&amp;utm_campaign=UK_Finance_2027&amp;gh_src=Trackr" TargetMode="External" Id="rId104"/><Relationship Type="http://schemas.openxmlformats.org/officeDocument/2006/relationships/hyperlink" Target="https://bankcampuscareers.tal.net/vx/lang-en-GB/mobile-0/brand-4/user-5276490/xf-da9741071fe5/candidate/jobboard/vacancy/1/adv/?utm_source=Trackr&amp;utm_medium=tracker&amp;utm_campaign=UK_Finance_2027&amp;f_Item_Opportunity_17838_lk=1822&amp;f_Item_Opportunity_60426_lk=520149" TargetMode="External" Id="rId105"/><Relationship Type="http://schemas.openxmlformats.org/officeDocument/2006/relationships/hyperlink" Target="https://osv-cci.wd1.myworkdayjobs.com/en-US/CCICareers/job/Commodities-Trading-Summer-Analyst-Internship-Programme--Summer-2027-_R1335-1?utm_source=Trackr&amp;utm_medium=tracker&amp;utm_campaign=UK_Finance_2027&amp;source=Trackr" TargetMode="External" Id="rId106"/><Relationship Type="http://schemas.openxmlformats.org/officeDocument/2006/relationships/hyperlink" Target="https://shell.wd3.myworkdayjobs.com/en-GB/ShellCareers/job/London---Shell-Centre/Shell-Assessed-Internship-Programme-2027---United-Kingdom_R205154?utm_source=Trackr&amp;utm_medium=tracker&amp;utm_campaign=UK_Finance_2027&amp;source=APPLICANT_SOURCE_NewChannel" TargetMode="External" Id="rId107"/><Relationship Type="http://schemas.openxmlformats.org/officeDocument/2006/relationships/hyperlink" Target="https://job-boards.greenhouse.io/embed/job_app?for=gsacapital&amp;token=8570661002&amp;utm_source=Trackr&amp;utm_medium=tracker&amp;utm_campaign=UK_Finance_2027&amp;gh_src=Trackr" TargetMode="External" Id="rId108"/><Relationship Type="http://schemas.openxmlformats.org/officeDocument/2006/relationships/hyperlink" Target="https://jobs.smartrecruiters.com/Wiser/744000146672822-debt-advisory-summer-internship-2027-evercore?utm_source=Trackr&amp;utm_medium=tracker&amp;utm_campaign=UK_Finance_2027&amp;trid=Trackr&amp;dcr_ci=Trackr" TargetMode="External" Id="rId109"/><Relationship Type="http://schemas.openxmlformats.org/officeDocument/2006/relationships/hyperlink" Target="https://apptrkr.io/fenchurch-advisory/fenchurch-advisory-2026-2027/fenchurch-2027-summer-internship-programme-uk?utm_source=Trackr&amp;utm_medium=tracker&amp;utm_campaign=UK_Finance_2027" TargetMode="External" Id="rId110"/><Relationship Type="http://schemas.openxmlformats.org/officeDocument/2006/relationships/hyperlink" Target="https://capitalone.wd12.myworkdayjobs.com/en-US/Capital_One/job/Strategy-Analyst-Summer-Internship_R999268?utm_source=Trackr&amp;utm_medium=tracker&amp;utm_campaign=UK_Finance_2027&amp;source=Trackr" TargetMode="External" Id="rId111"/><Relationship Type="http://schemas.openxmlformats.org/officeDocument/2006/relationships/hyperlink" Target="https://alantra.wd3.myworkdayjobs.com/en-US/Alantra/job/FIG-Summer-Internship--London--UK-_JR489-1?utm_source=Trackr&amp;utm_medium=tracker&amp;utm_campaign=UK_Finance_2027&amp;source=Trackr" TargetMode="External" Id="rId112"/><Relationship Type="http://schemas.openxmlformats.org/officeDocument/2006/relationships/hyperlink" Target="https://nomuracampus.tal.net/vx/lang-en-GB/mobile-0/appcentre-1/brand-4/user-598163/xf-1181ef381c7b/candidate/so/pm/1/pl/1/opp/1426-2027-Investment-Banking-Client-Financing-Solutions-Summer-Internship-London/en-GB?utm_source=Trackr&amp;utm_medium=tracker&amp;utm_campaign=UK_Finance_2027" TargetMode="External" Id="rId113"/><Relationship Type="http://schemas.openxmlformats.org/officeDocument/2006/relationships/hyperlink" Target="https://morganstanley.tal.net/vx/lang-en-GB/mobile-0/brand-2/user-5764832/xf-854c2833f441/candidate/so/pm/1/pl/1/opp/21774-2027-Investment-Banking-Summer-Analyst-Programme-London/en-GB?utm_source=Trackr&amp;utm_medium=tracker&amp;utm_campaign=UK_Finance_2027" TargetMode="External" Id="rId114"/><Relationship Type="http://schemas.openxmlformats.org/officeDocument/2006/relationships/hyperlink" Target="https://job-boards.greenhouse.io/dvtrading/jobs/4719135005?utm_source=Trackr&amp;utm_medium=tracker&amp;utm_campaign=UK_Finance_2027&amp;gh_src=Trackr" TargetMode="External" Id="rId115"/><Relationship Type="http://schemas.openxmlformats.org/officeDocument/2006/relationships/hyperlink" Target="https://job-boards.eu.greenhouse.io/isam/jobs/4949792101?utm_source=Trackr&amp;utm_medium=tracker&amp;utm_campaign=UK_Finance_2027&amp;gh_src=Trackr" TargetMode="External" Id="rId116"/><Relationship Type="http://schemas.openxmlformats.org/officeDocument/2006/relationships/hyperlink" Target="https://www.grb.uk.com/internships/mizuho-banking-risk-and-credit-risk-summer-internship-london-37883/?utm_source=Trackr&amp;utm_medium=tracker&amp;utm_campaign=UK_Finance_2027" TargetMode="External" Id="rId117"/><Relationship Type="http://schemas.openxmlformats.org/officeDocument/2006/relationships/hyperlink" Target="https://pimco.wd1.myworkdayjobs.com/en-US/pimco-careers/jobs?utm_source=Trackr&amp;utm_medium=tracker&amp;utm_campaign=UK_Finance_2027&amp;source=Trackr&amp;jobFamilies=b27adc21fb8410010c147bdeecc60000&amp;locationCountry=29247e57dbaf46fb855b224e03170bc7" TargetMode="External" Id="rId118"/><Relationship Type="http://schemas.openxmlformats.org/officeDocument/2006/relationships/hyperlink" Target="https://jobs.smartrecruiters.com/SocieteGenerale4/744000147858489-global-markets-2027-summer-internship-rotational-programme-8-weeks-?trid=Trackr&amp;utm_source=Trackr&amp;utm_medium=tracker&amp;utm_campaign=UK_Finance_2027&amp;dcr_ci=Trackr" TargetMode="External" Id="rId119"/><Relationship Type="http://schemas.openxmlformats.org/officeDocument/2006/relationships/hyperlink" Target="https://wd1.myworkdaysite.com/en-US/recruiting/wf/WellsFargoJobs/job/EMEA-Commercial-Real-Estate-Analyst_R-571086-1?utm_source=Trackr&amp;utm_medium=tracker&amp;utm_campaign=UK_Finance_2027" TargetMode="External" Id="rId120"/><Relationship Type="http://schemas.openxmlformats.org/officeDocument/2006/relationships/hyperlink" Target="https://campusjobs.mlp.com/careers/job/755954628841?utm_source=Trackr&amp;utm_medium=tracker&amp;utm_campaign=UK_Finance_2027&amp;microsite=campus-site" TargetMode="External" Id="rId121"/><Relationship Type="http://schemas.openxmlformats.org/officeDocument/2006/relationships/hyperlink" Target="https://careers.db.com/students-graduates/Search-Programmes/?utm_source=Trackr&amp;utm_medium=tracker&amp;utm_campaign=UK_Finance_2027" TargetMode="External" Id="rId122"/><Relationship Type="http://schemas.openxmlformats.org/officeDocument/2006/relationships/hyperlink" Target="https://eedu.fa.em3.oraclecloud.com/hcmUI/CandidateExperience/en/sites/CX_1003/jobs?keyword=%22internship%22&amp;lastSelectedFacet=TITLES&amp;location=United+Kingdom&amp;locationId=300000000346431&amp;locationLevel=country&amp;mode=location&amp;selectedLocationsFacet=300000000346893%3B300000000346431&amp;selectedTitlesFacet=XI%3BXG&amp;utm_source=Trackr&amp;utm_medium=tracker&amp;utm_campaign=UK_Finance_2027&amp;iis=Trackr&amp;sType=Trackr" TargetMode="External" Id="rId123"/><Relationship Type="http://schemas.openxmlformats.org/officeDocument/2006/relationships/hyperlink" Target="https://careers.brevanhoward.com/gb/en/job/JR101584/2027-Summer-Internship-Program-Trading-London?utm_source=Trackr&amp;utm_medium=tracker&amp;utm_campaign=UK_Finance_2027" TargetMode="External" Id="rId124"/><Relationship Type="http://schemas.openxmlformats.org/officeDocument/2006/relationships/hyperlink" Target="https://mufgub.wd3.myworkdayjobs.com/en-US/MUFG-EarlyCareers/job/XMLNAME-2027-MUFG-UK-Summer-Analyst-Programme--Credit-Sales-and-Trading_10079355-WD?utm_source=Trackr&amp;utm_medium=tracker&amp;utm_campaign=UK_Finance_2027&amp;source=Trackr" TargetMode="External" Id="rId125"/><Relationship Type="http://schemas.openxmlformats.org/officeDocument/2006/relationships/hyperlink" Target="https://barings.wd1.myworkdayjobs.com/en-GB/Barings/job/London-United-Kingdom/XMLNAME-2027-UK-Investment-Management-Summer-Internship_JR_006642-2?source=Trackr&amp;utm_source=Trackr&amp;utm_medium=tracker&amp;utm_campaign=UK_Finance_2027" TargetMode="External" Id="rId126"/><Relationship Type="http://schemas.openxmlformats.org/officeDocument/2006/relationships/hyperlink" Target="https://job-boards.greenhouse.io/virtu/jobs/8547254002?utm_source=Trackr&amp;utm_medium=tracker&amp;utm_campaign=UK_Finance_2027&amp;gh_src=Trackr" TargetMode="External" Id="rId127"/><Relationship Type="http://schemas.openxmlformats.org/officeDocument/2006/relationships/hyperlink" Target="https://recruitment.macquarie.com/en_US/careers/JobDetail?jobId=23630&amp;utm_source=Trackr&amp;utm_medium=tracker&amp;utm_campaign=UK_Finance_2027" TargetMode="External" Id="rId128"/><Relationship Type="http://schemas.openxmlformats.org/officeDocument/2006/relationships/hyperlink" Target="https://carreiras.btgpactual.com/vagas/hr/summer-undergrad-2027/6113588004?utm_source=Trackr&amp;utm_medium=tracker&amp;utm_campaign=UK_Finance_2027" TargetMode="External" Id="rId129"/><Relationship Type="http://schemas.openxmlformats.org/officeDocument/2006/relationships/hyperlink" Target="https://apply.workable.com/capula-investment-management-ltd/j/A15A62A8BE/?utm_source=Trackr&amp;utm_medium=tracker&amp;utm_campaign=UK_Finance_2027" TargetMode="External" Id="rId130"/><Relationship Type="http://schemas.openxmlformats.org/officeDocument/2006/relationships/hyperlink" Target="https://apply.workable.com/synthesisim/j/F5C1B9CC86?utm_source=Trackr&amp;utm_medium=tracker&amp;utm_campaign=UK_Finance_2027" TargetMode="External" Id="rId131"/><Relationship Type="http://schemas.openxmlformats.org/officeDocument/2006/relationships/hyperlink" Target="https://fidelityinternational.tal.net/vx/lang-en-GB/mobile-0/brand-5/xf-906bc4a6d932/candidate/so/pm/1/pl/1/opp/1410-Investment-Directing-Summer-Internship-2027-London/en-GB?utm_source=Trackr&amp;utm_medium=tracker&amp;utm_campaign=UK_Finance_2027" TargetMode="External" Id="rId132"/><Relationship Type="http://schemas.openxmlformats.org/officeDocument/2006/relationships/hyperlink" Target="https://fidelityinternational.tal.net/vx/lang-en-GB/mobile-0/brand-5/xf-906bc4a6d932/candidate/so/pm/1/pl/1/opp/1407-Multi-Asset-Summer-Internship-Programme-2027-London/en-GB?utm_source=Trackr&amp;utm_medium=tracker&amp;utm_campaign=UK_Finance_2027" TargetMode="External" Id="rId133"/><Relationship Type="http://schemas.openxmlformats.org/officeDocument/2006/relationships/hyperlink" Target="https://careers-hines.icims.com/jobs/search?utm_source=Trackr&amp;utm_medium=tracker&amp;utm_campaign=UK_Finance_2027&amp;iis=Trackr&amp;ss=1&amp;searchPositionType=8710&amp;searchLocation=13702--London" TargetMode="External" Id="rId134"/><Relationship Type="http://schemas.openxmlformats.org/officeDocument/2006/relationships/hyperlink" Target="https://guggenheim.wd1.myworkdayjobs.com/en-US/Guggenheim_Careers_Campus/job/XMLNAME-2027-Investment-Banking-Analyst-Intern---Digital-Infrastructure--London---June---August_14895?utm_source=Trackr&amp;utm_medium=tracker&amp;utm_campaign=UK_Finance_2027&amp;source=Trackr" TargetMode="External" Id="rId135"/><Relationship Type="http://schemas.openxmlformats.org/officeDocument/2006/relationships/hyperlink" Target="https://eastdilsecured.bamboohr.com/careers/172?utm_source=Trackr&amp;utm_medium=tracker&amp;utm_campaign=UK_Finance_2027&amp;source=Trackr" TargetMode="External" Id="rId136"/><Relationship Type="http://schemas.openxmlformats.org/officeDocument/2006/relationships/hyperlink" Target="https://apptrkr.io/dc-advisory/dc-advisory-intern-and-graduate-programmes-2027?utm_source=Trackr&amp;utm_medium=tracker&amp;utm_campaign=UK_Finance_2027" TargetMode="External" Id="rId137"/><Relationship Type="http://schemas.openxmlformats.org/officeDocument/2006/relationships/hyperlink" Target="https://wd1.myworkdaysite.com/en-US/recruiting/wf/WellsFargoJobs/job/EMEA-Markets-Summer-Analyst_R-570663?utm_source=Trackr&amp;utm_medium=tracker&amp;utm_campaign=UK_Finance_2027" TargetMode="External" Id="rId138"/><Relationship Type="http://schemas.openxmlformats.org/officeDocument/2006/relationships/hyperlink" Target="https://pwpcareers.tal.net/vx/lang-en-GB/mobile-0/appcentre-1/brand-4/user-131851/xf-b16b55460bb6/wid-1/candidate/so/pm/1/pl/2/opp/1098-2027-Advisory-Summer-Analyst-Programme-Munich-London/en-GB?utm_source=Trackr&amp;utm_medium=tracker&amp;utm_campaign=UK_Finance_2027" TargetMode="External" Id="rId139"/><Relationship Type="http://schemas.openxmlformats.org/officeDocument/2006/relationships/hyperlink" Target="https://jefferies.tal.net/vx/lang-en-GB/mobile-0/appcentre-1/brand-4/candidate/so/pm/1/pl/2/opp/1953-2027-Quant-Masters-Summer-Programme-London/en-GB?utm_source=Trackr&amp;utm_medium=tracker&amp;utm_campaign=UK_Finance_2027" TargetMode="External" Id="rId140"/><Relationship Type="http://schemas.openxmlformats.org/officeDocument/2006/relationships/hyperlink" Target="https://job-boards.greenhouse.io/mavensecuritiesholdingltd/jobs/8048591?utm_source=Trackr&amp;utm_medium=tracker&amp;utm_campaign=UK_Finance_2027&amp;gh_src=Trackr" TargetMode="External" Id="rId141"/><Relationship Type="http://schemas.openxmlformats.org/officeDocument/2006/relationships/hyperlink" Target="https://pjtpartners.wd1.myworkdayjobs.com/en-US/Students/job/XMLNAME-2027-Summer-Analyst--Corporate-Rotational--London_R0003512?utm_source=Trackr&amp;utm_medium=tracker&amp;utm_campaign=UK_Finance_2027&amp;source=Trackr" TargetMode="External" Id="rId142"/><Relationship Type="http://schemas.openxmlformats.org/officeDocument/2006/relationships/hyperlink" Target="https://blackrock.tal.net/vx/lang-en-GB/mobile-0/brand-3/user-1735377/xf-bce35dd61046/candidate/so/pm/1/pl/1/opp/12232-2027-Summer-Internship-Program-EMEA/en-GB?utm_source=Trackr&amp;utm_medium=tracker&amp;utm_campaign=UK_Finance_2027" TargetMode="External" Id="rId143"/><Relationship Type="http://schemas.openxmlformats.org/officeDocument/2006/relationships/hyperlink" Target="https://jefferies.tal.net/vx/lang-en-GB/mobile-0/appcentre-1/brand-4/candidate/so/pm/1/pl/2/opp/1792-2027-Investment-Banking-Summer-Internship-Programme-London/en-GB?utm_source=Trackr&amp;utm_medium=tracker&amp;utm_campaign=UK_Finance_2027" TargetMode="External" Id="rId144"/><Relationship Type="http://schemas.openxmlformats.org/officeDocument/2006/relationships/hyperlink" Target="https://www.hudsonrivertrading.com/careers/?gh_src=Trackr&amp;job-type=internship%2C&amp;locations=london%2C&amp;job-category=strategy-development%2C&amp;utm_source=Trackr&amp;utm_medium=tracker&amp;utm_campaign=UK_Finance_2027" TargetMode="External" Id="rId145"/><Relationship Type="http://schemas.openxmlformats.org/officeDocument/2006/relationships/hyperlink" Target="https://campusjobs.mlp.com/careers?utm_source=Trackr&amp;utm_medium=tracker&amp;utm_campaign=UK_Finance_2027&amp;location=London%2C+London%2C+United+Kingdom&amp;pid=755957819772&amp;domain=mlp.com&amp;sort_by=relevance&amp;triggerGoButton=false" TargetMode="External" Id="rId146"/><Relationship Type="http://schemas.openxmlformats.org/officeDocument/2006/relationships/hyperlink" Target="https://www.mckinsey.com/careers/search-jobs/jobs/businessanalystintern-15275?utm_source=Trackr&amp;utm_medium=tracker&amp;utm_campaign=UK_Finance_2027" TargetMode="External" Id="rId147"/><Relationship Type="http://schemas.openxmlformats.org/officeDocument/2006/relationships/hyperlink" Target="https://apptrkr.io/ares-management/ares-management-2027-2028/london-summer-intern-programme-2027?utm_source=Trackr&amp;utm_medium=tracker&amp;utm_campaign=UK_Finance_2027" TargetMode="External" Id="rId148"/><Relationship Type="http://schemas.openxmlformats.org/officeDocument/2006/relationships/hyperlink" Target="https://www.brightnetwork.co.uk/graduate-jobs/smbc/smbc-summer-intern-programme-2027?utm_source=Trackr&amp;utm_medium=tracker&amp;utm_campaign=UK_Finance_2027" TargetMode="External" Id="rId149"/><Relationship Type="http://schemas.openxmlformats.org/officeDocument/2006/relationships/hyperlink" Target="https://pjtpartners.wd1.myworkdayjobs.com/en-US/Students/job/XMLNAME-2027-Summer-Analyst--PJT-Park-Hill---Private-Capital-Solutions--London_R0003511?utm_source=Trackr&amp;utm_medium=tracker&amp;utm_campaign=UK_Finance_2027&amp;source=Trackr" TargetMode="External" Id="rId150"/><Relationship Type="http://schemas.openxmlformats.org/officeDocument/2006/relationships/hyperlink" Target="https://ekbq.fa.em2.oraclecloud.com/hcmUI/CandidateExperience/en/sites/CX_2/jobs?utm_source=Trackr&amp;utm_medium=tracker&amp;utm_campaign=UK_Finance_2027&amp;iis=Trackr&amp;sType=Trackr&amp;keyword=%22internship+programme%22&amp;lastSelectedFacet=CATEGORIES&amp;location=United+Kingdom&amp;locationId=300000000304260&amp;locationLevel=country&amp;mode=job-location&amp;selectedCategoriesFacet=300000363681038" TargetMode="External" Id="rId151"/><Relationship Type="http://schemas.openxmlformats.org/officeDocument/2006/relationships/hyperlink" Target="https://recruitment.macquarie.com/en_US/careers/JobDetail?jobId=23634&amp;utm_source=Trackr&amp;utm_medium=tracker&amp;utm_campaign=UK_Finance_2027" TargetMode="External" Id="rId152"/><Relationship Type="http://schemas.openxmlformats.org/officeDocument/2006/relationships/hyperlink" Target="https://the-trackr.com/wp-content/uploads/2026/08/WS-Intern-Brochure-2026.pdf?utm_source=Trackr&amp;utm_medium=tracker&amp;utm_campaign=UK_Finance_2027" TargetMode="External" Id="rId153"/><Relationship Type="http://schemas.openxmlformats.org/officeDocument/2006/relationships/hyperlink" Target="https://hl.wd1.myworkdayjobs.com/en-US/Campus/job/Summer-Financial-Analyst-2027---Financial-Restructuring--London_R3495?utm_source=Trackr&amp;utm_medium=tracker&amp;utm_campaign=UK_Finance_2027&amp;source=Trackr" TargetMode="External" Id="rId154"/><Relationship Type="http://schemas.openxmlformats.org/officeDocument/2006/relationships/hyperlink" Target="https://campusjobs.mlp.com/careers/job/755957778828?utm_source=Trackr&amp;utm_medium=tracker&amp;utm_campaign=UK_Finance_2027" TargetMode="External" Id="rId155"/><Relationship Type="http://schemas.openxmlformats.org/officeDocument/2006/relationships/hyperlink" Target="https://mufgub.wd3.myworkdayjobs.com/en-US/MUFG-EarlyCareers/job/XMLNAME-2027-MUFG-UK-Summer-Analyst-Programme--Internal-Audit_10079263-WD?utm_source=Trackr&amp;utm_medium=tracker&amp;utm_campaign=UK_Finance_2027&amp;source=Trackr" TargetMode="External" Id="rId156"/><Relationship Type="http://schemas.openxmlformats.org/officeDocument/2006/relationships/hyperlink" Target="https://www.grb.uk.com/internships/mizuho-banking-emea-operations-summer-internship-london-37878/?utm_source=Trackr&amp;utm_medium=tracker&amp;utm_campaign=UK_Finance_2027" TargetMode="External" Id="rId157"/><Relationship Type="http://schemas.openxmlformats.org/officeDocument/2006/relationships/hyperlink" Target="https://jpmc.fa.oraclecloud.com/hcmUI/CandidateExperience/en/sites/CX_1001/job/210773470/?utm_source=Trackr&amp;utm_medium=tracker&amp;utm_campaign=UK_Finance_2027&amp;iis=Trackr&amp;sType=Trackr" TargetMode="External" Id="rId158"/><Relationship Type="http://schemas.openxmlformats.org/officeDocument/2006/relationships/hyperlink" Target="https://jobs.smartrecruiters.com/Wiser/744000146672827-resa-summer-internship-2027-evercore?utm_source=Trackr&amp;utm_medium=tracker&amp;utm_campaign=UK_Finance_2027&amp;trid=Trackr&amp;dcr_ci=Trackr" TargetMode="External" Id="rId159"/><Relationship Type="http://schemas.openxmlformats.org/officeDocument/2006/relationships/hyperlink" Target="https://apptrkr.io/summer-internships-2027?utm_source=Trackr&amp;utm_medium=tracker&amp;utm_campaign=UK_Finance_2027" TargetMode="External" Id="rId160"/><Relationship Type="http://schemas.openxmlformats.org/officeDocument/2006/relationships/hyperlink" Target="https://mufgub.wd3.myworkdayjobs.com/en-US/MUFG-EarlyCareers/job/XMLNAME-2027-MUFG-UK-Summer-Analyst-Programme--Capital-Markets_10079265-WD?utm_source=Trackr&amp;utm_medium=tracker&amp;utm_campaign=UK_Finance_2027&amp;source=Trackr" TargetMode="External" Id="rId161"/><Relationship Type="http://schemas.openxmlformats.org/officeDocument/2006/relationships/hyperlink" Target="https://jobs.smartrecruiters.com/Wiser/744000143764788-m-a-advisory-summer-internship-2027-evercore?utm_source=Trackr&amp;utm_medium=tracker&amp;utm_campaign=UK_Finance_2027&amp;trid=Trackr&amp;dcr_ci=Trackr" TargetMode="External" Id="rId162"/><Relationship Type="http://schemas.openxmlformats.org/officeDocument/2006/relationships/hyperlink" Target="https://apptrkr.io/ardea-partners-summer-internship-2027?utm_source=Trackr&amp;utm_medium=tracker&amp;utm_campaign=UK_Finance_2027" TargetMode="External" Id="rId163"/><Relationship Type="http://schemas.openxmlformats.org/officeDocument/2006/relationships/hyperlink" Target="https://ircp.bamboohr.com/careers/366?source=Trackr&amp;utm_source=Trackr&amp;utm_medium=tracker&amp;utm_campaign=UK_Finance_2027" TargetMode="External" Id="rId164"/><Relationship Type="http://schemas.openxmlformats.org/officeDocument/2006/relationships/hyperlink" Target="https://mufgub.wd3.myworkdayjobs.com/en-US/MUFG-EarlyCareers/job/XMLNAME-2027-MUFG-UK-Summer-Analyst-Programme--Global-Corporate-Investment-Banking_10079259-WD?utm_source=Trackr&amp;utm_medium=tracker&amp;utm_campaign=UK_Finance_2027&amp;source=Trackr" TargetMode="External" Id="rId165"/></Relationships>
</file>

<file path=xl/worksheets/_rels/sheet8.xml.rels><Relationships xmlns="http://schemas.openxmlformats.org/package/2006/relationships"><Relationship Type="http://schemas.openxmlformats.org/officeDocument/2006/relationships/hyperlink" Target="https://www.ubs.com/global/en/careers.html" TargetMode="External" Id="rId1"/><Relationship Type="http://schemas.openxmlformats.org/officeDocument/2006/relationships/hyperlink" Target="https://www.morganstanley.com/people-opportunities/students-graduates" TargetMode="External" Id="rId2"/><Relationship Type="http://schemas.openxmlformats.org/officeDocument/2006/relationships/hyperlink" Target="https://www.jpmorganchase.com/careers" TargetMode="External" Id="rId3"/><Relationship Type="http://schemas.openxmlformats.org/officeDocument/2006/relationships/hyperlink" Target="https://www.goldmansachs.com/careers/students/programs/" TargetMode="External" Id="rId4"/><Relationship Type="http://schemas.openxmlformats.org/officeDocument/2006/relationships/hyperlink" Target="https://www.mckinsey.com/kr/careers" TargetMode="External" Id="rId5"/><Relationship Type="http://schemas.openxmlformats.org/officeDocument/2006/relationships/hyperlink" Target="https://jobs.citi.com/search-jobs/Seoul%2C%20South%20Korea/287/4/1835848-1835847/37x56667/126x97806/50/2" TargetMode="External" Id="rId6"/><Relationship Type="http://schemas.openxmlformats.org/officeDocument/2006/relationships/hyperlink" Target="https://jobs.citi.com/search-jobs/Seoul%2C%20South%20Korea/287/4/1835848-1835847/37x56667/126x97806/50/2" TargetMode="External" Id="rId7"/><Relationship Type="http://schemas.openxmlformats.org/officeDocument/2006/relationships/hyperlink" Target="https://www.wanted.co.kr/wd/293701" TargetMode="External" Id="rId8"/><Relationship Type="http://schemas.openxmlformats.org/officeDocument/2006/relationships/hyperlink" Target="https://www.wanted.co.kr/wd/379363" TargetMode="External" Id="rId9"/><Relationship Type="http://schemas.openxmlformats.org/officeDocument/2006/relationships/hyperlink" Target="https://www.wanted.co.kr/wd/293704" TargetMode="External" Id="rId10"/><Relationship Type="http://schemas.openxmlformats.org/officeDocument/2006/relationships/hyperlink" Target="https://www.wanted.co.kr/company/18629" TargetMode="External" Id="rId11"/><Relationship Type="http://schemas.openxmlformats.org/officeDocument/2006/relationships/hyperlink" Target="https://www.wanted.co.kr/search?query=%EB%85%B8%ED%83%80%20NetsPresso" TargetMode="External" Id="rId12"/><Relationship Type="http://schemas.openxmlformats.org/officeDocument/2006/relationships/hyperlink" Target="https://www.wanted.co.kr/search?query=%EC%97%85%EC%8A%A4%ED%85%8C%EC%9D%B4%EC%A7%80%20%EC%9D%B8%ED%84%B4" TargetMode="External" Id="rId13"/><Relationship Type="http://schemas.openxmlformats.org/officeDocument/2006/relationships/hyperlink" Target="https://www.wanted.co.kr/search?query=%EC%B1%84%EB%84%80%EC%BD%94%ED%8D%BC%EB%A0%88%EC%9D%B4%EC%85%98%20%EC%9D%B8%ED%84%B4" TargetMode="External" Id="rId14"/><Relationship Type="http://schemas.openxmlformats.org/officeDocument/2006/relationships/hyperlink" Target="https://www.wanted.co.kr/search?query=%ED%94%BC%EC%B9%B4%EB%B6%80%EB%9E%A9%EC%8A%A4" TargetMode="External" Id="rId15"/><Relationship Type="http://schemas.openxmlformats.org/officeDocument/2006/relationships/hyperlink" Target="https://www.superookie.com/jobs?keyword=%EB%8B%B9%EA%B7%BC" TargetMode="External" Id="rId16"/><Relationship Type="http://schemas.openxmlformats.org/officeDocument/2006/relationships/hyperlink" Target="https://www.superookie.com/jobs?keyword=%EB%8B%B9%EA%B7%BC" TargetMode="External" Id="rId17"/><Relationship Type="http://schemas.openxmlformats.org/officeDocument/2006/relationships/hyperlink" Target="https://www.wanted.co.kr/company/1258" TargetMode="External" Id="rId18"/><Relationship Type="http://schemas.openxmlformats.org/officeDocument/2006/relationships/hyperlink" Target="https://www.superookie.com/jobs?keyword=%ED%94%8C%EB%A0%89%EC%8A%A4" TargetMode="External" Id="rId19"/><Relationship Type="http://schemas.openxmlformats.org/officeDocument/2006/relationships/hyperlink" Target="https://www.amazon.jobs/en/locations/seoul-south-korea" TargetMode="External" Id="rId20"/><Relationship Type="http://schemas.openxmlformats.org/officeDocument/2006/relationships/hyperlink" Target="https://www.coupang.jobs/" TargetMode="External" Id="rId21"/><Relationship Type="http://schemas.openxmlformats.org/officeDocument/2006/relationships/hyperlink" Target="https://www.wanted.co.kr/search?query=%EB%A0%88%EB%8Ext%EC%9E%87%20Data%20Analyst" TargetMode="External" Id="rId22"/><Relationship Type="http://schemas.openxmlformats.org/officeDocument/2006/relationships/hyperlink" Target="https://www.superookie.com/jobs?keyword=%EB%8B%B9%EA%B7%BC" TargetMode="External" Id="rId23"/><Relationship Type="http://schemas.openxmlformats.org/officeDocument/2006/relationships/hyperlink" Target="https://www.wanted.co.kr/company/5251" TargetMode="External" Id="rId24"/><Relationship Type="http://schemas.openxmlformats.org/officeDocument/2006/relationships/hyperlink" Target="https://www.wanted.co.kr/search?query=%EC%99%80%EC%9D%B4%EC%A6%90%EB%A6%AC%20%EB%8D%B0%EC%9D%B4%ED%84%B0" TargetMode="External" Id="rId25"/><Relationship Type="http://schemas.openxmlformats.org/officeDocument/2006/relationships/hyperlink" Target="https://www.wanted.co.kr/company/10499" TargetMode="External" Id="rId26"/><Relationship Type="http://schemas.openxmlformats.org/officeDocument/2006/relationships/hyperlink" Target="https://www.wanted.co.kr/company/10499" TargetMode="External" Id="rId27"/><Relationship Type="http://schemas.openxmlformats.org/officeDocument/2006/relationships/hyperlink" Target="https://www.superookie.com/jobs?keyword=%EC%BB%AC%EB%A6%AC" TargetMode="External" Id="rId28"/><Relationship Type="http://schemas.openxmlformats.org/officeDocument/2006/relationships/hyperlink" Target="https://www.wanted.co.kr/search?query=%ED%81%B4%EB%9E%98%EC%8A%A4101%20Data%20Analyst" TargetMode="External" Id="rId29"/><Relationship Type="http://schemas.openxmlformats.org/officeDocument/2006/relationships/hyperlink" Target="https://www.wanted.co.kr/search?query=%EB%89%B4%EB%A1%9C%ED%95%8F" TargetMode="External" Id="rId30"/><Relationship Type="http://schemas.openxmlformats.org/officeDocument/2006/relationships/hyperlink" Target="https://www.wanted.co.kr/search?query=%EB%A3%A9%EC%8B%9C%EB%93%9C%EB%9E%A9%EC%8A%A4" TargetMode="External" Id="rId31"/><Relationship Type="http://schemas.openxmlformats.org/officeDocument/2006/relationships/hyperlink" Target="https://vuno.co/career" TargetMode="External" Id="rId32"/><Relationship Type="http://schemas.openxmlformats.org/officeDocument/2006/relationships/hyperlink" Target="https://careers.lg.com/" TargetMode="External" Id="rId33"/><Relationship Type="http://schemas.openxmlformats.org/officeDocument/2006/relationships/hyperlink" Target="https://www.samsungcareers.com/" TargetMode="External" Id="rId34"/><Relationship Type="http://schemas.openxmlformats.org/officeDocument/2006/relationships/hyperlink" Target="https://www.samsungcareers.com/" TargetMode="External" Id="rId35"/><Relationship Type="http://schemas.openxmlformats.org/officeDocument/2006/relationships/hyperlink" Target="https://www.kist.re.kr/ko/research/divisions/brain-science.do" TargetMode="External" Id="rId36"/><Relationship Type="http://schemas.openxmlformats.org/officeDocument/2006/relationships/hyperlink" Target="https://www.kist.re.kr/ko/research/divisions/brain-science.do" TargetMode="External" Id="rId37"/><Relationship Type="http://schemas.openxmlformats.org/officeDocument/2006/relationships/hyperlink" Target="http://pr.korea.ac.kr/" TargetMode="External" Id="rId38"/><Relationship Type="http://schemas.openxmlformats.org/officeDocument/2006/relationships/hyperlink" Target="https://milab.korea.ac.kr/" TargetMode="External" Id="rId39"/><Relationship Type="http://schemas.openxmlformats.org/officeDocument/2006/relationships/hyperlink" Target="https://talent.hyundai.com/" TargetMode="External" Id="rId40"/><Relationship Type="http://schemas.openxmlformats.org/officeDocument/2006/relationships/hyperlink" Target="https://careers.sktelecom.com/" TargetMode="External" Id="rId41"/><Relationship Type="http://schemas.openxmlformats.org/officeDocument/2006/relationships/hyperlink" Target="https://centers.ibs.re.kr/glia" TargetMode="External" Id="rId42"/><Relationship Type="http://schemas.openxmlformats.org/officeDocument/2006/relationships/hyperlink" Target="https://bioeng.kaist.ac.kr/" TargetMode="External" Id="rId43"/><Relationship Type="http://schemas.openxmlformats.org/officeDocument/2006/relationships/hyperlink" Target="https://bioeng.kaist.ac.kr/" TargetMode="External" Id="rId44"/><Relationship Type="http://schemas.openxmlformats.org/officeDocument/2006/relationships/hyperlink" Target="https://cns.snu.ac.kr/" TargetMode="External" Id="rId45"/><Relationship Type="http://schemas.openxmlformats.org/officeDocument/2006/relationships/hyperlink" Target="https://www.bain.com/careers/roles/act/" TargetMode="External" Id="rId46"/><Relationship Type="http://schemas.openxmlformats.org/officeDocument/2006/relationships/hyperlink" Target="https://careers.bcg.com/" TargetMode="External" Id="rId47"/><Relationship Type="http://schemas.openxmlformats.org/officeDocument/2006/relationships/hyperlink" Target="https://www.adlittle.com/en/careers" TargetMode="External" Id="rId48"/><Relationship Type="http://schemas.openxmlformats.org/officeDocument/2006/relationships/hyperlink" Target="https://careers.bcg.com/" TargetMode="External" Id="rId49"/><Relationship Type="http://schemas.openxmlformats.org/officeDocument/2006/relationships/hyperlink" Target="https://www.superookie.com/jobs?keyword=EY%ED%95%9C%EC%98%81" TargetMode="External" Id="rId50"/><Relationship Type="http://schemas.openxmlformats.org/officeDocument/2006/relationships/hyperlink" Target="https://www.superookie.com/jobs?keyword=%EC%BB%A4%EB%8B%88" TargetMode="External" Id="rId51"/><Relationship Type="http://schemas.openxmlformats.org/officeDocument/2006/relationships/hyperlink" Target="https://www.peoplenjob.com/" TargetMode="External" Id="rId52"/><Relationship Type="http://schemas.openxmlformats.org/officeDocument/2006/relationships/hyperlink" Target="https://www.mckinsey.com/kr/careers" TargetMode="External" Id="rId53"/><Relationship Type="http://schemas.openxmlformats.org/officeDocument/2006/relationships/hyperlink" Target="https://www.oliverwyman.com/careers.html" TargetMode="External" Id="rId54"/><Relationship Type="http://schemas.openxmlformats.org/officeDocument/2006/relationships/hyperlink" Target="https://www.superookie.com/jobs?keyword=%EB%A0%88%EB%8B%AC" TargetMode="External" Id="rId55"/></Relationships>
</file>

<file path=xl/worksheets/_rels/sheet9.xml.rels><Relationships xmlns="http://schemas.openxmlformats.org/package/2006/relationships"><Relationship Type="http://schemas.openxmlformats.org/officeDocument/2006/relationships/hyperlink" Target="https://www.morganstanley.com/people-opportunities/students-graduates" TargetMode="External" Id="rId1"/><Relationship Type="http://schemas.openxmlformats.org/officeDocument/2006/relationships/hyperlink" Target="https://www.jpmorganchase.com/careers" TargetMode="External" Id="rId2"/><Relationship Type="http://schemas.openxmlformats.org/officeDocument/2006/relationships/hyperlink" Target="https://www.goldmansachs.com/careers/students/programs/" TargetMode="External" Id="rId3"/><Relationship Type="http://schemas.openxmlformats.org/officeDocument/2006/relationships/hyperlink" Target="https://jobs.citi.com/search-jobs/Seoul%2C%20South%20Korea/287/4/1835848-1835847/37x56667/126x97806/50/2" TargetMode="External" Id="rId4"/><Relationship Type="http://schemas.openxmlformats.org/officeDocument/2006/relationships/hyperlink" Target="https://www.wanted.co.kr/wd/293701" TargetMode="External" Id="rId5"/><Relationship Type="http://schemas.openxmlformats.org/officeDocument/2006/relationships/hyperlink" Target="https://www.wanted.co.kr/wd/379363" TargetMode="External" Id="rId6"/><Relationship Type="http://schemas.openxmlformats.org/officeDocument/2006/relationships/hyperlink" Target="https://www.wanted.co.kr/wd/293704" TargetMode="External" Id="rId7"/><Relationship Type="http://schemas.openxmlformats.org/officeDocument/2006/relationships/hyperlink" Target="https://www.wanted.co.kr/company/1258" TargetMode="External" Id="rId8"/><Relationship Type="http://schemas.openxmlformats.org/officeDocument/2006/relationships/hyperlink" Target="https://www.wanted.co.kr/company/18629" TargetMode="External" Id="rId9"/><Relationship Type="http://schemas.openxmlformats.org/officeDocument/2006/relationships/hyperlink" Target="https://www.superookie.com/jobs?keyword=%EB%8B%B9%EA%B7%BC" TargetMode="External" Id="rId10"/><Relationship Type="http://schemas.openxmlformats.org/officeDocument/2006/relationships/hyperlink" Target="https://www.superookie.com/jobs?keyword=%ED%94%8C%EB%A0%89%EC%8A%A4" TargetMode="External" Id="rId11"/><Relationship Type="http://schemas.openxmlformats.org/officeDocument/2006/relationships/hyperlink" Target="https://bioeng.kaist.ac.kr/" TargetMode="External" Id="rId12"/><Relationship Type="http://schemas.openxmlformats.org/officeDocument/2006/relationships/hyperlink" Target="http://pr.korea.ac.kr/" TargetMode="External" Id="rId13"/><Relationship Type="http://schemas.openxmlformats.org/officeDocument/2006/relationships/hyperlink" Target="https://cns.snu.ac.kr/" TargetMode="External" Id="rId14"/><Relationship Type="http://schemas.openxmlformats.org/officeDocument/2006/relationships/hyperlink" Target="https://www.kist.re.kr/ko/research/divisions/brain-science.do" TargetMode="External" Id="rId15"/><Relationship Type="http://schemas.openxmlformats.org/officeDocument/2006/relationships/hyperlink" Target="https://centers.ibs.re.kr/glia" TargetMode="External" Id="rId16"/><Relationship Type="http://schemas.openxmlformats.org/officeDocument/2006/relationships/hyperlink" Target="https://www.samsungcareers.com/" TargetMode="External" Id="rId17"/><Relationship Type="http://schemas.openxmlformats.org/officeDocument/2006/relationships/hyperlink" Target="https://talent.hyundai.com/" TargetMode="External" Id="rId18"/></Relationships>
</file>

<file path=xl/worksheets/_rels/sheet10.xml.rels><Relationships xmlns="http://schemas.openxmlformats.org/package/2006/relationships"><Relationship Type="http://schemas.openxmlformats.org/officeDocument/2006/relationships/hyperlink" Target="https://bioeng.kaist.ac.kr/" TargetMode="External" Id="rId1"/><Relationship Type="http://schemas.openxmlformats.org/officeDocument/2006/relationships/hyperlink" Target="https://bioeng.kaist.ac.kr/" TargetMode="External" Id="rId2"/><Relationship Type="http://schemas.openxmlformats.org/officeDocument/2006/relationships/hyperlink" Target="http://pr.korea.ac.kr/" TargetMode="External" Id="rId3"/><Relationship Type="http://schemas.openxmlformats.org/officeDocument/2006/relationships/hyperlink" Target="https://milab.korea.ac.kr/" TargetMode="External" Id="rId4"/><Relationship Type="http://schemas.openxmlformats.org/officeDocument/2006/relationships/hyperlink" Target="https://cns.snu.ac.kr/" TargetMode="External" Id="rId5"/><Relationship Type="http://schemas.openxmlformats.org/officeDocument/2006/relationships/hyperlink" Target="https://www.kist.re.kr/ko/research/divisions/brain-science.do" TargetMode="External" Id="rId6"/><Relationship Type="http://schemas.openxmlformats.org/officeDocument/2006/relationships/hyperlink" Target="https://www.kist.re.kr/ko/research/divisions/brain-science.do" TargetMode="External" Id="rId7"/><Relationship Type="http://schemas.openxmlformats.org/officeDocument/2006/relationships/hyperlink" Target="https://centers.ibs.re.kr/glia" TargetMode="External" Id="rId8"/><Relationship Type="http://schemas.openxmlformats.org/officeDocument/2006/relationships/hyperlink" Target="https://www.wanted.co.kr/search?query=%EB%A3%A9%EC%8B%9C%EB%93%9C%EB%9E%A9%EC%8A%A4" TargetMode="External" Id="rId9"/><Relationship Type="http://schemas.openxmlformats.org/officeDocument/2006/relationships/hyperlink" Target="https://www.wanted.co.kr/search?query=%EB%89%B4%EB%A1%9C%ED%95%8F" TargetMode="External" Id="rId10"/><Relationship Type="http://schemas.openxmlformats.org/officeDocument/2006/relationships/hyperlink" Target="https://vuno.co/career" TargetMode="External" Id="rId11"/></Relationships>
</file>

<file path=xl/worksheets/_rels/sheet11.xml.rels><Relationships xmlns="http://schemas.openxmlformats.org/package/2006/relationships"><Relationship Type="http://schemas.openxmlformats.org/officeDocument/2006/relationships/hyperlink" Target="https://www.superookie.com/jobs?keyword=%EB%8B%B9%EA%B7%BC" TargetMode="External" Id="rId1"/><Relationship Type="http://schemas.openxmlformats.org/officeDocument/2006/relationships/hyperlink" Target="https://www.superookie.com/jobs?keyword=%EB%8B%B9%EA%B7%BC" TargetMode="External" Id="rId2"/><Relationship Type="http://schemas.openxmlformats.org/officeDocument/2006/relationships/hyperlink" Target="https://www.wanted.co.kr/company/1258" TargetMode="External" Id="rId3"/><Relationship Type="http://schemas.openxmlformats.org/officeDocument/2006/relationships/hyperlink" Target="https://www.wanted.co.kr/company/5251" TargetMode="External" Id="rId4"/><Relationship Type="http://schemas.openxmlformats.org/officeDocument/2006/relationships/hyperlink" Target="https://www.wanted.co.kr/company/10499" TargetMode="External" Id="rId5"/><Relationship Type="http://schemas.openxmlformats.org/officeDocument/2006/relationships/hyperlink" Target="https://www.wanted.co.kr/company/10499" TargetMode="External" Id="rId6"/><Relationship Type="http://schemas.openxmlformats.org/officeDocument/2006/relationships/hyperlink" Target="https://www.amazon.jobs/en/locations/seoul-south-korea" TargetMode="External" Id="rId7"/><Relationship Type="http://schemas.openxmlformats.org/officeDocument/2006/relationships/hyperlink" Target="https://www.superookie.com/jobs?keyword=%EB%8B%B9%EA%B7%BC" TargetMode="External" Id="rId8"/><Relationship Type="http://schemas.openxmlformats.org/officeDocument/2006/relationships/hyperlink" Target="https://www.superookie.com/jobs?keyword=%EC%BB%AC%EB%A6%AC" TargetMode="External" Id="rId9"/><Relationship Type="http://schemas.openxmlformats.org/officeDocument/2006/relationships/hyperlink" Target="https://www.superookie.com/jobs?keyword=%ED%94%8C%EB%A0%89%EC%8A%A4" TargetMode="External" Id="rId10"/><Relationship Type="http://schemas.openxmlformats.org/officeDocument/2006/relationships/hyperlink" Target="https://www.wanted.co.kr/search?query=%ED%81%B4%EB%9E%98%EC%8A%A4101%20Data%20Analyst" TargetMode="External" Id="rId11"/><Relationship Type="http://schemas.openxmlformats.org/officeDocument/2006/relationships/hyperlink" Target="https://www.wanted.co.kr/search?query=%EC%99%80%EC%9D%B4%EC%A6%90%EB%A6%AC%20%EB%8D%B0%EC%9D%B4%ED%84%B0" TargetMode="External" Id="rId12"/><Relationship Type="http://schemas.openxmlformats.org/officeDocument/2006/relationships/hyperlink" Target="https://www.wanted.co.kr/search?query=%EB%A0%88%EB%8Ext%EC%9E%87%20Data%20Analyst" TargetMode="External" Id="rId13"/><Relationship Type="http://schemas.openxmlformats.org/officeDocument/2006/relationships/hyperlink" Target="https://www.coupang.jobs/" TargetMode="External" Id="rId14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bain.com/careers/roles/act/" TargetMode="External" Id="rId1"/><Relationship Type="http://schemas.openxmlformats.org/officeDocument/2006/relationships/hyperlink" Target="https://www.mckinsey.com/kr/careers" TargetMode="External" Id="rId2"/><Relationship Type="http://schemas.openxmlformats.org/officeDocument/2006/relationships/hyperlink" Target="https://www.mckinsey.com/kr/careers" TargetMode="External" Id="rId3"/><Relationship Type="http://schemas.openxmlformats.org/officeDocument/2006/relationships/hyperlink" Target="https://careers.bcg.com/" TargetMode="External" Id="rId4"/><Relationship Type="http://schemas.openxmlformats.org/officeDocument/2006/relationships/hyperlink" Target="https://careers.bcg.com/" TargetMode="External" Id="rId5"/><Relationship Type="http://schemas.openxmlformats.org/officeDocument/2006/relationships/hyperlink" Target="https://www.superookie.com/jobs?keyword=%EC%BB%A4%EB%8B%88" TargetMode="External" Id="rId6"/><Relationship Type="http://schemas.openxmlformats.org/officeDocument/2006/relationships/hyperlink" Target="https://www.oliverwyman.com/careers.html" TargetMode="External" Id="rId7"/><Relationship Type="http://schemas.openxmlformats.org/officeDocument/2006/relationships/hyperlink" Target="https://www.adlittle.com/en/careers" TargetMode="External" Id="rId8"/><Relationship Type="http://schemas.openxmlformats.org/officeDocument/2006/relationships/hyperlink" Target="http://reddal.com/join-reddal/ &#46608;&#45716; &#49800;&#54140;&#47336;&#53412;" TargetMode="External" Id="rId9"/><Relationship Type="http://schemas.openxmlformats.org/officeDocument/2006/relationships/hyperlink" Target="https://www.superookie.com/jobs?keyword=%EB%A0%88%EB%8B%AC" TargetMode="External" Id="rId10"/><Relationship Type="http://schemas.openxmlformats.org/officeDocument/2006/relationships/hyperlink" Target="https://www.superookie.com/jobs?keyword=EY%ED%95%9C%EC%98%81" TargetMode="External" Id="rId11"/><Relationship Type="http://schemas.openxmlformats.org/officeDocument/2006/relationships/hyperlink" Target="https://www.peoplenjob.com/" TargetMode="External" Id="rId1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samsungcareers.com/" TargetMode="External" Id="rId1"/><Relationship Type="http://schemas.openxmlformats.org/officeDocument/2006/relationships/hyperlink" Target="https://www.samsungcareers.com/" TargetMode="External" Id="rId2"/><Relationship Type="http://schemas.openxmlformats.org/officeDocument/2006/relationships/hyperlink" Target="https://talent.hyundai.com/" TargetMode="External" Id="rId3"/><Relationship Type="http://schemas.openxmlformats.org/officeDocument/2006/relationships/hyperlink" Target="https://careers.lg.com/" TargetMode="External" Id="rId4"/><Relationship Type="http://schemas.openxmlformats.org/officeDocument/2006/relationships/hyperlink" Target="https://careers.sktelecom.com/" TargetMode="External" Id="rId5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morganstanley.com/people-opportunities/students-graduates" TargetMode="External" Id="rId1"/><Relationship Type="http://schemas.openxmlformats.org/officeDocument/2006/relationships/hyperlink" Target="https://www.jpmorganchase.com/careers" TargetMode="External" Id="rId2"/><Relationship Type="http://schemas.openxmlformats.org/officeDocument/2006/relationships/hyperlink" Target="https://www.goldmansachs.com/careers/students/programs/" TargetMode="External" Id="rId3"/><Relationship Type="http://schemas.openxmlformats.org/officeDocument/2006/relationships/hyperlink" Target="https://jobs.citi.com/search-jobs/Seoul%2C%20South%20Korea/287/4/1835848-1835847/37x56667/126x97806/50/2" TargetMode="External" Id="rId4"/><Relationship Type="http://schemas.openxmlformats.org/officeDocument/2006/relationships/hyperlink" Target="https://jobs.citi.com/search-jobs/Seoul%2C%20South%20Korea/287/4/1835848-1835847/37x56667/126x97806/50/2" TargetMode="External" Id="rId5"/><Relationship Type="http://schemas.openxmlformats.org/officeDocument/2006/relationships/hyperlink" Target="https://www.ubs.com/global/en/careers.html" TargetMode="External" Id="rId6"/></Relationships>
</file>

<file path=xl/worksheets/_rels/sheet15.xml.rels><Relationships xmlns="http://schemas.openxmlformats.org/package/2006/relationships"><Relationship Type="http://schemas.openxmlformats.org/officeDocument/2006/relationships/hyperlink" Target="https://www.wanted.co.kr/wd/293701" TargetMode="External" Id="rId1"/><Relationship Type="http://schemas.openxmlformats.org/officeDocument/2006/relationships/hyperlink" Target="https://www.wanted.co.kr/wd/379363" TargetMode="External" Id="rId2"/><Relationship Type="http://schemas.openxmlformats.org/officeDocument/2006/relationships/hyperlink" Target="https://www.wanted.co.kr/wd/293704" TargetMode="External" Id="rId3"/><Relationship Type="http://schemas.openxmlformats.org/officeDocument/2006/relationships/hyperlink" Target="https://www.wanted.co.kr/company/18629" TargetMode="External" Id="rId4"/><Relationship Type="http://schemas.openxmlformats.org/officeDocument/2006/relationships/hyperlink" Target="https://www.wanted.co.kr/search?query=%EC%97%85%EC%8A%A4%ED%85%8C%EC%9D%B4%EC%A7%80%20%EC%9D%B8%ED%84%B4" TargetMode="External" Id="rId5"/><Relationship Type="http://schemas.openxmlformats.org/officeDocument/2006/relationships/hyperlink" Target="https://www.wanted.co.kr/search?query=%EC%B1%84%EB%84%80%EC%BD%94%ED%8D%BC%EB%A0%88%EC%9D%B4%EC%85%98%20%EC%9D%B8%ED%84%B4" TargetMode="External" Id="rId6"/><Relationship Type="http://schemas.openxmlformats.org/officeDocument/2006/relationships/hyperlink" Target="https://www.wanted.co.kr/search?query=%EB%85%B8%ED%83%80%20NetsPresso" TargetMode="External" Id="rId7"/><Relationship Type="http://schemas.openxmlformats.org/officeDocument/2006/relationships/hyperlink" Target="https://www.wanted.co.kr/search?query=%ED%94%BC%EC%B9%B4%EB%B6%80%EB%9E%A9%EC%8A%A4" TargetMode="External" Id="rId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4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4" customWidth="1" min="3" max="3"/>
    <col width="45" customWidth="1" min="4" max="4"/>
    <col width="14" customWidth="1" min="5" max="5"/>
    <col width="25" customWidth="1" min="6" max="6"/>
    <col width="30" customWidth="1" min="7" max="7"/>
  </cols>
  <sheetData>
    <row r="2" ht="32" customHeight="1">
      <c r="B2" s="1" t="inlineStr">
        <is>
          <t>2027 GLOBAL INTERNSHIP MASTER SSOT TRACKER (CEO CONTROL TOWER)</t>
        </is>
      </c>
    </row>
    <row r="3" ht="20" customHeight="1">
      <c r="B3" s="2" t="inlineStr">
        <is>
          <t>Candidate: Kyubin Yun (UCL BSc Psychology and Language Sciences, Class of 2028, Penultimate Year) | Zero Auto-Submit | SSOT Single Source of Truth</t>
        </is>
      </c>
    </row>
    <row r="5" ht="24" customHeight="1">
      <c r="B5" s="3" t="inlineStr">
        <is>
          <t xml:space="preserve">  📊 EXECUTIVE PORTFOLIO SUMMARY (850+ TRACKED OPPORTUNITIES)</t>
        </is>
      </c>
    </row>
    <row r="6" ht="20" customHeight="1">
      <c r="B6" s="4" t="inlineStr">
        <is>
          <t>GLOBAL BCI &amp; NEUROTECH</t>
        </is>
      </c>
      <c r="D6" s="4" t="inlineStr">
        <is>
          <t>UK 2027 TECH &amp; FINANCE</t>
        </is>
      </c>
      <c r="E6" s="4" t="inlineStr">
        <is>
          <t>KOREA TOP ROLES</t>
        </is>
      </c>
      <c r="F6" s="4" t="inlineStr">
        <is>
          <t>SYSTEM STATUS</t>
        </is>
      </c>
    </row>
    <row r="7" ht="20" customHeight="1">
      <c r="B7" s="5" t="inlineStr">
        <is>
          <t>28 Firms / 84 Contacts</t>
        </is>
      </c>
      <c r="D7" s="5" t="inlineStr">
        <is>
          <t>783 Roles (20 Curated)</t>
        </is>
      </c>
      <c r="E7" s="5" t="inlineStr">
        <is>
          <t>55 Verified Positions</t>
        </is>
      </c>
      <c r="F7" s="5" t="inlineStr">
        <is>
          <t>SSOT READY / 100% AUDIT</t>
        </is>
      </c>
    </row>
    <row r="8" ht="20" customHeight="1">
      <c r="B8" s="6" t="inlineStr">
        <is>
          <t>Apple, Google, Meta, Neuralink</t>
        </is>
      </c>
      <c r="D8" s="6" t="inlineStr">
        <is>
          <t>Palantir, Trackr UK Tech &amp; Finance</t>
        </is>
      </c>
      <c r="E8" s="6" t="inlineStr">
        <is>
          <t>KAIST BCI, Daangn, Bain/McK, Samsung</t>
        </is>
      </c>
      <c r="F8" s="6" t="inlineStr">
        <is>
          <t>Zero Auto-Submit &amp; Whale Browser Active</t>
        </is>
      </c>
    </row>
    <row r="10" ht="24" customHeight="1">
      <c r="B10" s="3" t="inlineStr">
        <is>
          <t xml:space="preserve">  🧭 MASTER SHEET DIRECTORY &amp; INSTANT NAVIGATION (클릭 시 해당 시트로 이동)</t>
        </is>
      </c>
    </row>
    <row r="11" ht="22" customHeight="1">
      <c r="B11" s="7" t="inlineStr">
        <is>
          <t>시트 명칭 (Sheet Name)</t>
        </is>
      </c>
      <c r="C11" s="7" t="inlineStr">
        <is>
          <t>트랙 분류 (Category)</t>
        </is>
      </c>
      <c r="D11" s="7" t="inlineStr">
        <is>
          <t>세부 내용 및 범위 (Scope)</t>
        </is>
      </c>
      <c r="E11" s="7" t="inlineStr">
        <is>
          <t>데이터 규모</t>
        </is>
      </c>
      <c r="F11" s="7" t="inlineStr">
        <is>
          <t>시트 직결 링크 (Direct Jump)</t>
        </is>
      </c>
      <c r="G11" s="7" t="inlineStr">
        <is>
          <t>특이사항 및 제약</t>
        </is>
      </c>
    </row>
    <row r="12" ht="20" customHeight="1">
      <c r="B12" s="8" t="inlineStr">
        <is>
          <t>1.Global_BCI_Map</t>
        </is>
      </c>
      <c r="C12" s="9" t="inlineStr">
        <is>
          <t>Global BCI / Neurotech</t>
        </is>
      </c>
      <c r="D12" s="9" t="inlineStr">
        <is>
          <t>글로벌 BCI &amp; 테크 우선순위 맵 대시보드</t>
        </is>
      </c>
      <c r="E12" s="10" t="inlineStr">
        <is>
          <t>28개사</t>
        </is>
      </c>
      <c r="F12" s="11">
        <f>HYPERLINK("#'1.Global_BCI_Map'!A1", "➡️ 1.Global_BCI_Map 바로가기")</f>
        <v/>
      </c>
      <c r="G12" s="9" t="inlineStr">
        <is>
          <t>Pastel Priority &amp; Go to DB 링크</t>
        </is>
      </c>
    </row>
    <row r="13" ht="20" customHeight="1">
      <c r="B13" s="8" t="inlineStr">
        <is>
          <t>2.Research_Database</t>
        </is>
      </c>
      <c r="C13" s="9" t="inlineStr">
        <is>
          <t>Global BCI / Neurotech</t>
        </is>
      </c>
      <c r="D13" s="9" t="inlineStr">
        <is>
          <t>기업별 리서치 적합도, 핵심 컨택 및 전략 훅</t>
        </is>
      </c>
      <c r="E13" s="10" t="inlineStr">
        <is>
          <t>84행 (3행/사)</t>
        </is>
      </c>
      <c r="F13" s="11">
        <f>HYPERLINK("#'2.Research_Database'!A1", "➡️ 2.Research_Database 바로가기")</f>
        <v/>
      </c>
      <c r="G13" s="9" t="inlineStr">
        <is>
          <t>텔레메트리 G~K 은닉 준수</t>
        </is>
      </c>
    </row>
    <row r="14" ht="20" customHeight="1">
      <c r="B14" s="8" t="inlineStr">
        <is>
          <t>3.Global_BCI_Filtered</t>
        </is>
      </c>
      <c r="C14" s="9" t="inlineStr">
        <is>
          <t>Global BCI / Neurotech</t>
        </is>
      </c>
      <c r="D14" s="9" t="inlineStr">
        <is>
          <t>석박사 전용 / 지원 조건 불일치 필터아웃 기업</t>
        </is>
      </c>
      <c r="E14" s="10" t="inlineStr">
        <is>
          <t>10개사</t>
        </is>
      </c>
      <c r="F14" s="11">
        <f>HYPERLINK("#'3.Global_BCI_Filtered'!A1", "➡️ 3.Global_BCI_Filtered 바로가기")</f>
        <v/>
      </c>
      <c r="G14" s="9" t="inlineStr">
        <is>
          <t>추후 재검토용 아카이브</t>
        </is>
      </c>
    </row>
    <row r="15" ht="20" customHeight="1">
      <c r="B15" s="8" t="inlineStr">
        <is>
          <t>4.UK_Target_Master</t>
        </is>
      </c>
      <c r="C15" s="9" t="inlineStr">
        <is>
          <t>UK 2027 Summer Tech</t>
        </is>
      </c>
      <c r="D15" s="9" t="inlineStr">
        <is>
          <t>영국 하계인턴 1순위 타깃 (Palantir, Amazon 등)</t>
        </is>
      </c>
      <c r="E15" s="10" t="inlineStr">
        <is>
          <t>20개 타깃</t>
        </is>
      </c>
      <c r="F15" s="11">
        <f>HYPERLINK("#'4.UK_Target_Master'!A1", "➡️ 4.UK_Target_Master 바로가기")</f>
        <v/>
      </c>
      <c r="G15" s="9" t="inlineStr">
        <is>
          <t>공식포털 단독발굴 및 L1 우선순위</t>
        </is>
      </c>
    </row>
    <row r="16" ht="20" customHeight="1">
      <c r="B16" s="8" t="inlineStr">
        <is>
          <t>5.UK_Trackr_Tech</t>
        </is>
      </c>
      <c r="C16" s="9" t="inlineStr">
        <is>
          <t>UK 2027 Summer Tech</t>
        </is>
      </c>
      <c r="D16" s="9" t="inlineStr">
        <is>
          <t>영국 테크/SW/AI 하계인턴 전수 데이터</t>
        </is>
      </c>
      <c r="E16" s="10" t="inlineStr">
        <is>
          <t>286개 프로그램</t>
        </is>
      </c>
      <c r="F16" s="11">
        <f>HYPERLINK("#'5.UK_Trackr_Tech'!A1", "➡️ 5.UK_Trackr_Tech 바로가기")</f>
        <v/>
      </c>
      <c r="G16" s="9" t="inlineStr">
        <is>
          <t>Trackr UK 검증 전수 DB</t>
        </is>
      </c>
    </row>
    <row r="17" ht="20" customHeight="1">
      <c r="B17" s="8" t="inlineStr">
        <is>
          <t>6.UK_Trackr_Finance</t>
        </is>
      </c>
      <c r="C17" s="9" t="inlineStr">
        <is>
          <t>UK 2027 Summer Finance</t>
        </is>
      </c>
      <c r="D17" s="9" t="inlineStr">
        <is>
          <t>영국 퀀트/트레이딩/IB/컨설팅 하계인턴 전수 DB</t>
        </is>
      </c>
      <c r="E17" s="10" t="inlineStr">
        <is>
          <t>477개 프로그램</t>
        </is>
      </c>
      <c r="F17" s="11">
        <f>HYPERLINK("#'6.UK_Trackr_Finance'!A1", "➡️ 6.UK_Trackr_Finance 바로가기")</f>
        <v/>
      </c>
      <c r="G17" s="9" t="inlineStr">
        <is>
          <t>Trackr UK 금융/컨설팅 전수</t>
        </is>
      </c>
    </row>
    <row r="18" ht="20" customHeight="1">
      <c r="B18" s="8" t="inlineStr">
        <is>
          <t>7.KR_통합일정_타임라인</t>
        </is>
      </c>
      <c r="C18" s="9" t="inlineStr">
        <is>
          <t>Korea Career 2026-2027</t>
        </is>
      </c>
      <c r="D18" s="9" t="inlineStr">
        <is>
          <t>국내 55개 타깃 기회 통합 타임라인 및 마감일</t>
        </is>
      </c>
      <c r="E18" s="10" t="inlineStr">
        <is>
          <t>55개 기회</t>
        </is>
      </c>
      <c r="F18" s="11">
        <f>HYPERLINK("#'7.KR_통합일정_타임라인'!A1", "➡️ 7.KR_통합일정_타임라인 바로가기")</f>
        <v/>
      </c>
      <c r="G18" s="9" t="inlineStr">
        <is>
          <t>다가오는 순 정렬 및 역량 매칭</t>
        </is>
      </c>
    </row>
    <row r="19" ht="20" customHeight="1">
      <c r="B19" s="8" t="inlineStr">
        <is>
          <t>8.KR_종합요약_우선순위</t>
        </is>
      </c>
      <c r="C19" s="9" t="inlineStr">
        <is>
          <t>Korea Career 2026-2027</t>
        </is>
      </c>
      <c r="D19" s="9" t="inlineStr">
        <is>
          <t>국내 핵심 18대 우선순위 기회 행동 계획</t>
        </is>
      </c>
      <c r="E19" s="10" t="inlineStr">
        <is>
          <t>18개 타깃</t>
        </is>
      </c>
      <c r="F19" s="11">
        <f>HYPERLINK("#'8.KR_종합요약_우선순위'!A1", "➡️ 8.KR_종합요약_우선순위 바로가기")</f>
        <v/>
      </c>
      <c r="G19" s="9" t="inlineStr">
        <is>
          <t>플랫폼 공고 직결 링크 탑재</t>
        </is>
      </c>
    </row>
    <row r="20" ht="20" customHeight="1">
      <c r="B20" s="8" t="inlineStr">
        <is>
          <t>9.KR_EEG_BCI_연구실</t>
        </is>
      </c>
      <c r="C20" s="9" t="inlineStr">
        <is>
          <t>Korea Research Labs</t>
        </is>
      </c>
      <c r="D20" s="9" t="inlineStr">
        <is>
          <t>KAIST/서울대/고려대 뇌공학·BCI 랩 인턴십</t>
        </is>
      </c>
      <c r="E20" s="10" t="inlineStr">
        <is>
          <t>11개 랩</t>
        </is>
      </c>
      <c r="F20" s="11">
        <f>HYPERLINK("#'9.KR_EEG_BCI_연구실'!A1", "➡️ 9.KR_EEG_BCI_연구실 바로가기")</f>
        <v/>
      </c>
      <c r="G20" s="9" t="inlineStr">
        <is>
          <t>해외대 TrYBBE / 컨택 가이드</t>
        </is>
      </c>
    </row>
    <row r="21" ht="20" customHeight="1">
      <c r="B21" s="8" t="inlineStr">
        <is>
          <t>10.KR_데이터사이언스_DA</t>
        </is>
      </c>
      <c r="C21" s="9" t="inlineStr">
        <is>
          <t>Korea Tech / Data Science</t>
        </is>
      </c>
      <c r="D21" s="9" t="inlineStr">
        <is>
          <t>당근/토스/네이버/카카오 DA 및 DS 인턴</t>
        </is>
      </c>
      <c r="E21" s="10" t="inlineStr">
        <is>
          <t>14개 포지션</t>
        </is>
      </c>
      <c r="F21" s="11">
        <f>HYPERLINK("#'10.KR_데이터사이언스_DA'!A1", "➡️ 10.KR_데이터사이언스_DA 바로가기")</f>
        <v/>
      </c>
      <c r="G21" s="9" t="inlineStr">
        <is>
          <t>SQL, Python, A/B Test 매칭</t>
        </is>
      </c>
    </row>
    <row r="22" ht="20" customHeight="1">
      <c r="B22" s="8" t="inlineStr">
        <is>
          <t>11.KR_전략컨설팅_RA</t>
        </is>
      </c>
      <c r="C22" s="9" t="inlineStr">
        <is>
          <t>Korea Strategy Consulting</t>
        </is>
      </c>
      <c r="D22" s="9" t="inlineStr">
        <is>
          <t>Bain, McKinsey, BCG, LEK 등 리서치 어시스턴트</t>
        </is>
      </c>
      <c r="E22" s="10" t="inlineStr">
        <is>
          <t>11개 포지션</t>
        </is>
      </c>
      <c r="F22" s="11">
        <f>HYPERLINK("#'11.KR_전략컨설팅_RA'!A1", "➡️ 11.KR_전략컨설팅_RA 바로가기")</f>
        <v/>
      </c>
      <c r="G22" s="9" t="inlineStr">
        <is>
          <t>케이스 투입 및 정량분석</t>
        </is>
      </c>
    </row>
    <row r="23" ht="20" customHeight="1">
      <c r="B23" s="8" t="inlineStr">
        <is>
          <t>12.KR_대기업_해외대하계</t>
        </is>
      </c>
      <c r="C23" s="9" t="inlineStr">
        <is>
          <t>Korea Conglomerate</t>
        </is>
      </c>
      <c r="D23" s="9" t="inlineStr">
        <is>
          <t>삼성전자 DX/DS, SK하이닉스 해외대 인턴십</t>
        </is>
      </c>
      <c r="E23" s="10" t="inlineStr">
        <is>
          <t>5대 전형</t>
        </is>
      </c>
      <c r="F23" s="11">
        <f>HYPERLINK("#'12.KR_대기업_해외대하계'!A1", "➡️ 12.KR_대기업_해외대하계 바로가기")</f>
        <v/>
      </c>
      <c r="G23" s="9" t="inlineStr">
        <is>
          <t>정규직 전환 특전 (2~3월 접수)</t>
        </is>
      </c>
    </row>
    <row r="24" ht="20" customHeight="1">
      <c r="B24" s="8" t="inlineStr">
        <is>
          <t>13.KR_외국계금융_IB</t>
        </is>
      </c>
      <c r="C24" s="9" t="inlineStr">
        <is>
          <t>Korea Global Finance</t>
        </is>
      </c>
      <c r="D24" s="9" t="inlineStr">
        <is>
          <t>모건스탠리, 골드만삭스, BofA 서울 오피스 인턴</t>
        </is>
      </c>
      <c r="E24" s="10" t="inlineStr">
        <is>
          <t>6개 프로그램</t>
        </is>
      </c>
      <c r="F24" s="11">
        <f>HYPERLINK("#'13.KR_외국계금융_IB'!A1", "➡️ 13.KR_외국계금융_IB 바로가기")</f>
        <v/>
      </c>
      <c r="G24" s="9" t="inlineStr">
        <is>
          <t>영/국문 이중언어 &amp; 정량모델링</t>
        </is>
      </c>
    </row>
    <row r="25" ht="20" customHeight="1">
      <c r="B25" s="8" t="inlineStr">
        <is>
          <t>14.KR_AI_Agent_LLM</t>
        </is>
      </c>
      <c r="C25" s="9" t="inlineStr">
        <is>
          <t>Korea AI Startups</t>
        </is>
      </c>
      <c r="D25" s="9" t="inlineStr">
        <is>
          <t>뤼튼, 스캐터랩 등 AI Agent 및 LLM 엔지니어</t>
        </is>
      </c>
      <c r="E25" s="10" t="inlineStr">
        <is>
          <t>8개 포지션</t>
        </is>
      </c>
      <c r="F25" s="11">
        <f>HYPERLINK("#'14.KR_AI_Agent_LLM'!A1", "➡️ 14.KR_AI_Agent_LLM 바로가기")</f>
        <v/>
      </c>
      <c r="G25" s="9" t="inlineStr">
        <is>
          <t>Agentic 프레임워크 실무 매칭</t>
        </is>
      </c>
    </row>
    <row r="26" ht="20" customHeight="1">
      <c r="B26" s="8" t="inlineStr">
        <is>
          <t>15.UK_Overview_Dashboard</t>
        </is>
      </c>
      <c r="C26" s="9" t="inlineStr">
        <is>
          <t>UK Roadmap Summary</t>
        </is>
      </c>
      <c r="D26" s="9" t="inlineStr">
        <is>
          <t>영국 2027 하계 마스터 로드맵 원본 대시보드</t>
        </is>
      </c>
      <c r="E26" s="10" t="inlineStr">
        <is>
          <t>종합 요약</t>
        </is>
      </c>
      <c r="F26" s="11">
        <f>HYPERLINK("#'15.UK_Overview_Dashboard'!A1", "➡️ 15.UK_Overview_Dashboard 바로가기")</f>
        <v/>
      </c>
      <c r="G26" s="9" t="inlineStr">
        <is>
          <t>기지원 21개사 배제 필터</t>
        </is>
      </c>
    </row>
    <row r="28" ht="24" customHeight="1">
      <c r="B28" s="3" t="inlineStr">
        <is>
          <t xml:space="preserve">  🛡️ CANDIDATE GROUND TRUTH BASELINE &amp; ZERO AUTO-SUBMIT DIRECTIVES</t>
        </is>
      </c>
    </row>
    <row r="29" ht="20" customHeight="1">
      <c r="B29" s="12" t="inlineStr">
        <is>
          <t>Candidate Name</t>
        </is>
      </c>
      <c r="C29" s="9" t="inlineStr">
        <is>
          <t>Kyubin Yun (윤규빈)</t>
        </is>
      </c>
      <c r="D29" s="12" t="inlineStr">
        <is>
          <t>UCL Official Academic ID</t>
        </is>
      </c>
      <c r="E29" s="9" t="inlineStr">
        <is>
          <t>zcjtyun@ucl.ac.uk</t>
        </is>
      </c>
    </row>
    <row r="30" ht="20" customHeight="1">
      <c r="B30" s="12" t="inlineStr">
        <is>
          <t>UK Mobile Phone</t>
        </is>
      </c>
      <c r="C30" s="9" t="inlineStr">
        <is>
          <t>+44 7787 442404</t>
        </is>
      </c>
      <c r="D30" s="12" t="inlineStr">
        <is>
          <t>UK Local Address</t>
        </is>
      </c>
      <c r="E30" s="9" t="inlineStr">
        <is>
          <t>40 Merchant St, Brent Cross, Suite 638, London, NW2 8BB</t>
        </is>
      </c>
    </row>
    <row r="31" ht="20" customHeight="1">
      <c r="B31" s="12" t="inlineStr">
        <is>
          <t>University &amp; Degree</t>
        </is>
      </c>
      <c r="C31" s="9" t="inlineStr">
        <is>
          <t>UCL / BSc Psychology &amp; Language Sciences</t>
        </is>
      </c>
      <c r="D31" s="12" t="inlineStr">
        <is>
          <t>Graduation Date</t>
        </is>
      </c>
      <c r="E31" s="9" t="inlineStr">
        <is>
          <t>June 2028 (Penultimate Year Class of 2028)</t>
        </is>
      </c>
    </row>
    <row r="32" ht="20" customHeight="1">
      <c r="B32" s="12" t="inlineStr">
        <is>
          <t>UK Work Authorization</t>
        </is>
      </c>
      <c r="C32" s="9" t="inlineStr">
        <is>
          <t>Yes (Student Route Visa - Full-time summer permitted)</t>
        </is>
      </c>
      <c r="D32" s="12" t="inlineStr">
        <is>
          <t>Graduate Route 2-Yr</t>
        </is>
      </c>
      <c r="E32" s="9" t="inlineStr">
        <is>
          <t>Yes (2-Year Unconditional Full Working Rights post-grad)</t>
        </is>
      </c>
    </row>
    <row r="33" ht="20" customHeight="1">
      <c r="B33" s="12" t="inlineStr">
        <is>
          <t>Standard Password</t>
        </is>
      </c>
      <c r="C33" s="9" t="inlineStr">
        <is>
          <t>Jeff0825!! (General Portals)</t>
        </is>
      </c>
      <c r="D33" s="12" t="inlineStr">
        <is>
          <t>Workday Password</t>
        </is>
      </c>
      <c r="E33" s="9" t="inlineStr">
        <is>
          <t>Jeff0825!!!! (Workday Mandatory 12+ chars)</t>
        </is>
      </c>
    </row>
    <row r="34" ht="20" customHeight="1">
      <c r="B34" s="12" t="inlineStr">
        <is>
          <t>Safety Directive 1</t>
        </is>
      </c>
      <c r="C34" s="9" t="inlineStr">
        <is>
          <t>Zero Auto-Submit (절대 최종 제출 클릭 금지)</t>
        </is>
      </c>
      <c r="D34" s="12" t="inlineStr">
        <is>
          <t>Safety Directive 2</t>
        </is>
      </c>
      <c r="E34" s="9" t="inlineStr">
        <is>
          <t>Visible Whale Browser (백그라운드 가상 브라우저 전면 금지)</t>
        </is>
      </c>
    </row>
  </sheetData>
  <mergeCells count="17">
    <mergeCell ref="B3:G3"/>
    <mergeCell ref="B2:G2"/>
    <mergeCell ref="B6:C6"/>
    <mergeCell ref="E32:G32"/>
    <mergeCell ref="B10:G10"/>
    <mergeCell ref="B28:G28"/>
    <mergeCell ref="E33:G33"/>
    <mergeCell ref="B7:C7"/>
    <mergeCell ref="B5:G5"/>
    <mergeCell ref="E31:G31"/>
    <mergeCell ref="E29:G29"/>
    <mergeCell ref="F6:G6"/>
    <mergeCell ref="E34:G34"/>
    <mergeCell ref="E30:G30"/>
    <mergeCell ref="B8:C8"/>
    <mergeCell ref="F7:G7"/>
    <mergeCell ref="F8:G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25" customWidth="1" min="2" max="2"/>
    <col width="35" customWidth="1" min="3" max="3"/>
    <col width="25" customWidth="1" min="5" max="5"/>
  </cols>
  <sheetData>
    <row r="1">
      <c r="A1" s="13" t="inlineStr">
        <is>
          <t>Company Name</t>
        </is>
      </c>
      <c r="B1" s="13" t="inlineStr">
        <is>
          <t>Priority</t>
        </is>
      </c>
      <c r="C1" s="13" t="inlineStr">
        <is>
          <t>Target Position</t>
        </is>
      </c>
      <c r="D1" s="13" t="inlineStr">
        <is>
          <t>Opening Period</t>
        </is>
      </c>
      <c r="E1" s="13" t="inlineStr">
        <is>
          <t>🔍 Deep Dive Link</t>
        </is>
      </c>
    </row>
    <row r="2">
      <c r="A2" s="14" t="inlineStr">
        <is>
          <t>Apple</t>
        </is>
      </c>
      <c r="B2" s="15" t="inlineStr">
        <is>
          <t>Global Big Tech</t>
        </is>
      </c>
      <c r="C2" s="16" t="inlineStr">
        <is>
          <t>Data Science / UXR Intern</t>
        </is>
      </c>
      <c r="D2" s="16" t="inlineStr">
        <is>
          <t>August - October 2026</t>
        </is>
      </c>
      <c r="E2" s="17">
        <f>HYPERLINK("#'2.Research_Database'!A2", "➡️ Go to DB")</f>
        <v/>
      </c>
    </row>
    <row r="3">
      <c r="A3" s="14" t="inlineStr">
        <is>
          <t>Google</t>
        </is>
      </c>
      <c r="B3" s="15" t="inlineStr">
        <is>
          <t>Global Big Tech</t>
        </is>
      </c>
      <c r="C3" s="16" t="inlineStr">
        <is>
          <t>Data Science / UXR Intern</t>
        </is>
      </c>
      <c r="D3" s="16" t="inlineStr">
        <is>
          <t>June - July 2026</t>
        </is>
      </c>
      <c r="E3" s="17">
        <f>HYPERLINK("#'2.Research_Database'!A5", "➡️ Go to DB")</f>
        <v/>
      </c>
    </row>
    <row r="4">
      <c r="A4" s="14" t="inlineStr">
        <is>
          <t>Google DeepMind</t>
        </is>
      </c>
      <c r="B4" s="15" t="inlineStr">
        <is>
          <t>Global Big Tech</t>
        </is>
      </c>
      <c r="C4" s="16" t="inlineStr">
        <is>
          <t>Data Science / UXR Intern</t>
        </is>
      </c>
      <c r="D4" s="16" t="inlineStr">
        <is>
          <t>August - October 2026</t>
        </is>
      </c>
      <c r="E4" s="17">
        <f>HYPERLINK("#'2.Research_Database'!A8", "➡️ Go to DB")</f>
        <v/>
      </c>
    </row>
    <row r="5">
      <c r="A5" s="14" t="inlineStr">
        <is>
          <t>Meta (Reality Labs London)</t>
        </is>
      </c>
      <c r="B5" s="15" t="inlineStr">
        <is>
          <t>Global Big Tech</t>
        </is>
      </c>
      <c r="C5" s="16" t="inlineStr">
        <is>
          <t>Data Science / UXR Intern</t>
        </is>
      </c>
      <c r="D5" s="16" t="inlineStr">
        <is>
          <t>August - October 2026</t>
        </is>
      </c>
      <c r="E5" s="17">
        <f>HYPERLINK("#'2.Research_Database'!A11", "➡️ Go to DB")</f>
        <v/>
      </c>
    </row>
    <row r="6">
      <c r="A6" s="14" t="inlineStr">
        <is>
          <t>Microsoft (Microsoft Research)</t>
        </is>
      </c>
      <c r="B6" s="15" t="inlineStr">
        <is>
          <t>Global Big Tech</t>
        </is>
      </c>
      <c r="C6" s="16" t="inlineStr">
        <is>
          <t>Data Science / UXR Intern</t>
        </is>
      </c>
      <c r="D6" s="16" t="inlineStr">
        <is>
          <t>Mid-August 2026</t>
        </is>
      </c>
      <c r="E6" s="17">
        <f>HYPERLINK("#'2.Research_Database'!A14", "➡️ Go to DB")</f>
        <v/>
      </c>
    </row>
    <row r="7" ht="28.5" customHeight="1">
      <c r="A7" s="14" t="inlineStr">
        <is>
          <t>Samsung AI Center (Cambridge)</t>
        </is>
      </c>
      <c r="B7" s="15" t="inlineStr">
        <is>
          <t>Global Big Tech</t>
        </is>
      </c>
      <c r="C7" s="16" t="inlineStr">
        <is>
          <t>Data Science / UXR Intern</t>
        </is>
      </c>
      <c r="D7" s="16" t="inlineStr">
        <is>
          <t>September - November 2026</t>
        </is>
      </c>
      <c r="E7" s="17">
        <f>HYPERLINK("#'2.Research_Database'!A17", "➡️ Go to DB")</f>
        <v/>
      </c>
    </row>
    <row r="8">
      <c r="A8" s="14" t="inlineStr">
        <is>
          <t>Snap Inc. (Snap Lab London)</t>
        </is>
      </c>
      <c r="B8" s="15" t="inlineStr">
        <is>
          <t>Global Big Tech</t>
        </is>
      </c>
      <c r="C8" s="16" t="inlineStr">
        <is>
          <t>Data Science / UXR Intern</t>
        </is>
      </c>
      <c r="D8" s="16" t="inlineStr">
        <is>
          <t>Late August - September 2026</t>
        </is>
      </c>
      <c r="E8" s="17">
        <f>HYPERLINK("#'2.Research_Database'!A20", "➡️ Go to DB")</f>
        <v/>
      </c>
    </row>
    <row r="9" ht="28.5" customHeight="1">
      <c r="A9" s="14" t="inlineStr">
        <is>
          <t>Sony Interactive Entertainment (SIE London)</t>
        </is>
      </c>
      <c r="B9" s="15" t="inlineStr">
        <is>
          <t>Global Big Tech</t>
        </is>
      </c>
      <c r="C9" s="16" t="inlineStr">
        <is>
          <t>Data Science / UXR Intern</t>
        </is>
      </c>
      <c r="D9" s="16" t="inlineStr">
        <is>
          <t>September 2026 - January 2027</t>
        </is>
      </c>
      <c r="E9" s="17">
        <f>HYPERLINK("#'2.Research_Database'!A23", "➡️ Go to DB")</f>
        <v/>
      </c>
    </row>
    <row r="10">
      <c r="A10" s="18" t="inlineStr">
        <is>
          <t>BIOS Health</t>
        </is>
      </c>
      <c r="B10" s="19" t="inlineStr">
        <is>
          <t>UK Startup</t>
        </is>
      </c>
      <c r="C10" s="19" t="inlineStr">
        <is>
          <t>Neural Interfaces Intern</t>
        </is>
      </c>
      <c r="D10" s="19" t="inlineStr">
        <is>
          <t>Rolling (Optimal Outreach: Jan ~ Feb 2027)</t>
        </is>
      </c>
      <c r="E10" s="20">
        <f>HYPERLINK("#'2.Research_Database'!A26", "➡️ Go to DB")</f>
        <v/>
      </c>
    </row>
    <row r="11">
      <c r="A11" s="18" t="inlineStr">
        <is>
          <t>CoMind</t>
        </is>
      </c>
      <c r="B11" s="19" t="inlineStr">
        <is>
          <t>UK Startup</t>
        </is>
      </c>
      <c r="C11" s="19" t="inlineStr">
        <is>
          <t>BCI Software / Neuroimaging Intern</t>
        </is>
      </c>
      <c r="D11" s="19" t="inlineStr">
        <is>
          <t>Rolling (Optimal Outreach: Jan ~ Feb 2027)</t>
        </is>
      </c>
      <c r="E11" s="20">
        <f>HYPERLINK("#'2.Research_Database'!A29", "➡️ Go to DB")</f>
        <v/>
      </c>
    </row>
    <row r="12">
      <c r="A12" s="18" t="inlineStr">
        <is>
          <t>Cogitat</t>
        </is>
      </c>
      <c r="B12" s="19" t="inlineStr">
        <is>
          <t>UK Startup</t>
        </is>
      </c>
      <c r="C12" s="19" t="inlineStr">
        <is>
          <t>EEG Motor Imagery R&amp;D Intern</t>
        </is>
      </c>
      <c r="D12" s="19" t="inlineStr">
        <is>
          <t>Rolling (Optimal Outreach: Jan ~ Feb 2027)</t>
        </is>
      </c>
      <c r="E12" s="20">
        <f>HYPERLINK("#'2.Research_Database'!A32", "➡️ Go to DB")</f>
        <v/>
      </c>
    </row>
    <row r="13">
      <c r="A13" s="18" t="inlineStr">
        <is>
          <t>Connectome Health</t>
        </is>
      </c>
      <c r="B13" s="19" t="inlineStr">
        <is>
          <t>UK Startup</t>
        </is>
      </c>
      <c r="C13" s="19" t="inlineStr">
        <is>
          <t>Wearable fNIRS Intern</t>
        </is>
      </c>
      <c r="D13" s="19" t="inlineStr">
        <is>
          <t>Rolling (Optimal Outreach: Jan ~ Feb 2027)</t>
        </is>
      </c>
      <c r="E13" s="20">
        <f>HYPERLINK("#'2.Research_Database'!A35", "➡️ Go to DB")</f>
        <v/>
      </c>
    </row>
    <row r="14">
      <c r="A14" s="18" t="inlineStr">
        <is>
          <t>CrossSense</t>
        </is>
      </c>
      <c r="B14" s="19" t="inlineStr">
        <is>
          <t>UK Startup</t>
        </is>
      </c>
      <c r="C14" s="19" t="inlineStr">
        <is>
          <t>Smart Glasses AI Intern</t>
        </is>
      </c>
      <c r="D14" s="19" t="inlineStr">
        <is>
          <t>Rolling (Optimal Outreach: Jan ~ Feb 2027)</t>
        </is>
      </c>
      <c r="E14" s="20">
        <f>HYPERLINK("#'2.Research_Database'!A38", "➡️ Go to DB")</f>
        <v/>
      </c>
    </row>
    <row r="15">
      <c r="A15" s="18" t="inlineStr">
        <is>
          <t>Cumulus Neuroscience</t>
        </is>
      </c>
      <c r="B15" s="19" t="inlineStr">
        <is>
          <t>UK Startup</t>
        </is>
      </c>
      <c r="C15" s="19" t="inlineStr">
        <is>
          <t>ML Data Pipeline Intern</t>
        </is>
      </c>
      <c r="D15" s="19" t="inlineStr">
        <is>
          <t>Rolling (Optimal Outreach: Jan ~ Feb 2027)</t>
        </is>
      </c>
      <c r="E15" s="20">
        <f>HYPERLINK("#'2.Research_Database'!A41", "➡️ Go to DB")</f>
        <v/>
      </c>
    </row>
    <row r="16">
      <c r="A16" s="18" t="inlineStr">
        <is>
          <t>Emteq Labs</t>
        </is>
      </c>
      <c r="B16" s="19" t="inlineStr">
        <is>
          <t>UK Startup</t>
        </is>
      </c>
      <c r="C16" s="19" t="inlineStr">
        <is>
          <t>Biometric Sensor Integration Intern</t>
        </is>
      </c>
      <c r="D16" s="19" t="inlineStr">
        <is>
          <t>Rolling (Optimal Outreach: Jan ~ Feb 2027)</t>
        </is>
      </c>
      <c r="E16" s="20">
        <f>HYPERLINK("#'2.Research_Database'!A44", "➡️ Go to DB")</f>
        <v/>
      </c>
    </row>
    <row r="17">
      <c r="A17" s="18" t="inlineStr">
        <is>
          <t>MyndPlay</t>
        </is>
      </c>
      <c r="B17" s="19" t="inlineStr">
        <is>
          <t>UK Startup</t>
        </is>
      </c>
      <c r="C17" s="19" t="inlineStr">
        <is>
          <t>EEG Platform / Media Intern</t>
        </is>
      </c>
      <c r="D17" s="19" t="inlineStr">
        <is>
          <t>Rolling (Optimal Outreach: Jan ~ Feb 2027)</t>
        </is>
      </c>
      <c r="E17" s="20">
        <f>HYPERLINK("#'2.Research_Database'!A47", "➡️ Go to DB")</f>
        <v/>
      </c>
    </row>
    <row r="18">
      <c r="A18" s="21" t="inlineStr">
        <is>
          <t>Neurable</t>
        </is>
      </c>
      <c r="B18" s="22" t="inlineStr">
        <is>
          <t>US Startup</t>
        </is>
      </c>
      <c r="C18" s="22" t="inlineStr">
        <is>
          <t>Research Intern (BCI / Data Collection)</t>
        </is>
      </c>
      <c r="D18" s="22" t="inlineStr">
        <is>
          <t>Rolling / General Pipeline</t>
        </is>
      </c>
      <c r="E18" s="23">
        <f>HYPERLINK("#'2.Research_Database'!A50", "➡️ Go to DB")</f>
        <v/>
      </c>
    </row>
    <row r="19" ht="28.5" customHeight="1">
      <c r="A19" s="21" t="inlineStr">
        <is>
          <t>OpenBCI</t>
        </is>
      </c>
      <c r="B19" s="22" t="inlineStr">
        <is>
          <t>US Startup</t>
        </is>
      </c>
      <c r="C19" s="22" t="inlineStr">
        <is>
          <t>Neural Data Science Intern / BCI Software Engineering</t>
        </is>
      </c>
      <c r="D19" s="22" t="inlineStr">
        <is>
          <t>Rolling basis</t>
        </is>
      </c>
      <c r="E19" s="23">
        <f>HYPERLINK("#'2.Research_Database'!A53", "➡️ Go to DB")</f>
        <v/>
      </c>
    </row>
    <row r="20" ht="28.5" customHeight="1">
      <c r="A20" s="21" t="inlineStr">
        <is>
          <t>Synchron</t>
        </is>
      </c>
      <c r="B20" s="22" t="inlineStr">
        <is>
          <t>US/AUS Startup</t>
        </is>
      </c>
      <c r="C20" s="22" t="inlineStr">
        <is>
          <t>Machine Learning Intern / Software Engineering Intern</t>
        </is>
      </c>
      <c r="D20" s="22" t="inlineStr">
        <is>
          <t>Rolling basis</t>
        </is>
      </c>
      <c r="E20" s="23">
        <f>HYPERLINK("#'2.Research_Database'!A56", "➡️ Go to DB")</f>
        <v/>
      </c>
    </row>
    <row r="21" ht="28.5" customHeight="1">
      <c r="A21" s="24" t="inlineStr">
        <is>
          <t>Gaudio Lab</t>
        </is>
      </c>
      <c r="B21" s="25" t="inlineStr">
        <is>
          <t>KR Startup</t>
        </is>
      </c>
      <c r="C21" s="25" t="inlineStr">
        <is>
          <t>Spatial Audio AI Intern</t>
        </is>
      </c>
      <c r="D21" s="25" t="inlineStr">
        <is>
          <t>Rolling (Optimal Outreach: Mar ~ Apr 2027)</t>
        </is>
      </c>
      <c r="E21" s="26">
        <f>HYPERLINK("#'2.Research_Database'!A59", "➡️ Go to DB")</f>
        <v/>
      </c>
    </row>
    <row r="22" ht="28.5" customHeight="1">
      <c r="A22" s="24" t="inlineStr">
        <is>
          <t>Looxid Labs</t>
        </is>
      </c>
      <c r="B22" s="25" t="inlineStr">
        <is>
          <t>KR Startup</t>
        </is>
      </c>
      <c r="C22" s="25" t="inlineStr">
        <is>
          <t>VR+EEG Integration / AI Intern</t>
        </is>
      </c>
      <c r="D22" s="25" t="inlineStr">
        <is>
          <t>Rolling (Optimal Outreach: Mar ~ Apr 2027)</t>
        </is>
      </c>
      <c r="E22" s="26">
        <f>HYPERLINK("#'2.Research_Database'!A62", "➡️ Go to DB")</f>
        <v/>
      </c>
    </row>
    <row r="23" ht="28.5" customHeight="1">
      <c r="A23" s="24" t="inlineStr">
        <is>
          <t>OBELAB</t>
        </is>
      </c>
      <c r="B23" s="25" t="inlineStr">
        <is>
          <t>KR Startup</t>
        </is>
      </c>
      <c r="C23" s="25" t="inlineStr">
        <is>
          <t>fNIRS Neurotech Intern</t>
        </is>
      </c>
      <c r="D23" s="25" t="inlineStr">
        <is>
          <t>Rolling (Optimal Outreach: Mar ~ Apr 2027)</t>
        </is>
      </c>
      <c r="E23" s="26">
        <f>HYPERLINK("#'2.Research_Database'!A65", "➡️ Go to DB")</f>
        <v/>
      </c>
    </row>
    <row r="24" ht="28.5" customHeight="1">
      <c r="A24" s="24" t="inlineStr">
        <is>
          <t>Vtouch</t>
        </is>
      </c>
      <c r="B24" s="25" t="inlineStr">
        <is>
          <t>KR Startup</t>
        </is>
      </c>
      <c r="C24" s="25" t="inlineStr">
        <is>
          <t>Gesture Control HCI Intern</t>
        </is>
      </c>
      <c r="D24" s="25" t="inlineStr">
        <is>
          <t>Rolling (Optimal Outreach: Mar ~ Apr 2027)</t>
        </is>
      </c>
      <c r="E24" s="26">
        <f>HYPERLINK("#'2.Research_Database'!A68", "➡️ Go to DB")</f>
        <v/>
      </c>
    </row>
    <row r="25" ht="28.5" customHeight="1">
      <c r="A25" s="24" t="inlineStr">
        <is>
          <t>Ybrain</t>
        </is>
      </c>
      <c r="B25" s="25" t="inlineStr">
        <is>
          <t>KR Startup</t>
        </is>
      </c>
      <c r="C25" s="25" t="inlineStr">
        <is>
          <t>BCI Healthcare Intern</t>
        </is>
      </c>
      <c r="D25" s="25" t="inlineStr">
        <is>
          <t>Rolling (Optimal Outreach: Mar ~ Apr 2027)</t>
        </is>
      </c>
      <c r="E25" s="26">
        <f>HYPERLINK("#'2.Research_Database'!A71", "➡️ Go to DB")</f>
        <v/>
      </c>
    </row>
    <row r="26" ht="28.5" customHeight="1">
      <c r="A26" s="24" t="inlineStr">
        <is>
          <t>iMediSync</t>
        </is>
      </c>
      <c r="B26" s="25" t="inlineStr">
        <is>
          <t>KR Startup</t>
        </is>
      </c>
      <c r="C26" s="25" t="inlineStr">
        <is>
          <t>AI EEG Analysis &amp; Cloud Platform Intern</t>
        </is>
      </c>
      <c r="D26" s="25" t="inlineStr">
        <is>
          <t>Rolling (Optimal Outreach: Mar ~ Apr 2027)</t>
        </is>
      </c>
      <c r="E26" s="26">
        <f>HYPERLINK("#'2.Research_Database'!A74", "➡️ Go to DB")</f>
        <v/>
      </c>
    </row>
    <row r="27" ht="28.5" customHeight="1">
      <c r="A27" s="27" t="inlineStr">
        <is>
          <t>Hyundai Motor (Robotics / HMI Lab)</t>
        </is>
      </c>
      <c r="B27" s="28" t="inlineStr">
        <is>
          <t>KR Conglomerate</t>
        </is>
      </c>
      <c r="C27" s="28" t="inlineStr">
        <is>
          <t>In-vehicle Cognitive State / Biosignal Intern</t>
        </is>
      </c>
      <c r="D27" s="28" t="inlineStr">
        <is>
          <t>Summer '27: Apr ~ May 2027 (연구장학생 / 인턴)</t>
        </is>
      </c>
      <c r="E27" s="29">
        <f>HYPERLINK("#'2.Research_Database'!A77", "➡️ Go to DB")</f>
        <v/>
      </c>
    </row>
    <row r="28" ht="28.5" customHeight="1">
      <c r="A28" s="27" t="inlineStr">
        <is>
          <t>NAVER Labs</t>
        </is>
      </c>
      <c r="B28" s="28" t="inlineStr">
        <is>
          <t>KR Conglomerate</t>
        </is>
      </c>
      <c r="C28" s="28" t="inlineStr">
        <is>
          <t>Spatial Computing / Immersive HCI Intern</t>
        </is>
      </c>
      <c r="D28" s="28" t="inlineStr">
        <is>
          <t>Summer '27: Mar ~ Apr 2027 (인턴십 / 체험형 인턴 공채)</t>
        </is>
      </c>
      <c r="E28" s="29">
        <f>HYPERLINK("#'2.Research_Database'!A80", "➡️ Go to DB")</f>
        <v/>
      </c>
    </row>
    <row r="29" ht="28.5" customHeight="1">
      <c r="A29" s="27" t="inlineStr">
        <is>
          <t>Samsung Electronics (MX / Research)</t>
        </is>
      </c>
      <c r="B29" s="28" t="inlineStr">
        <is>
          <t>KR Conglomerate</t>
        </is>
      </c>
      <c r="C29" s="28" t="inlineStr">
        <is>
          <t>Next-gen HCI Research Intern</t>
        </is>
      </c>
      <c r="D29" s="28" t="inlineStr">
        <is>
          <t>Summer '27: Apr ~ May 2027 (해외대 서머인턴 전형)</t>
        </is>
      </c>
      <c r="E29" s="29">
        <f>HYPERLINK("#'2.Research_Database'!A83", "➡️ Go to DB")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C5" r:id="rId7"/>
    <hyperlink xmlns:r="http://schemas.openxmlformats.org/officeDocument/2006/relationships" ref="D5" r:id="rId8"/>
    <hyperlink xmlns:r="http://schemas.openxmlformats.org/officeDocument/2006/relationships" ref="C6" r:id="rId9"/>
    <hyperlink xmlns:r="http://schemas.openxmlformats.org/officeDocument/2006/relationships" ref="D6" r:id="rId10"/>
    <hyperlink xmlns:r="http://schemas.openxmlformats.org/officeDocument/2006/relationships" ref="C7" r:id="rId11"/>
    <hyperlink xmlns:r="http://schemas.openxmlformats.org/officeDocument/2006/relationships" ref="D7" r:id="rId12"/>
    <hyperlink xmlns:r="http://schemas.openxmlformats.org/officeDocument/2006/relationships" ref="C8" r:id="rId13"/>
    <hyperlink xmlns:r="http://schemas.openxmlformats.org/officeDocument/2006/relationships" ref="D8" r:id="rId14"/>
    <hyperlink xmlns:r="http://schemas.openxmlformats.org/officeDocument/2006/relationships" ref="C9" r:id="rId15"/>
    <hyperlink xmlns:r="http://schemas.openxmlformats.org/officeDocument/2006/relationships" ref="D9" r:id="rId1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35" customWidth="1" min="5" max="5"/>
    <col width="50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</cols>
  <sheetData>
    <row r="1">
      <c r="A1" s="30" t="inlineStr">
        <is>
          <t>Company Name</t>
        </is>
      </c>
      <c r="B1" s="30" t="inlineStr">
        <is>
          <t>Reference URLs</t>
        </is>
      </c>
      <c r="C1" s="30" t="inlineStr">
        <is>
          <t>Core Research Fit</t>
        </is>
      </c>
      <c r="D1" s="30" t="inlineStr">
        <is>
          <t>Target Title &amp; Name</t>
        </is>
      </c>
      <c r="E1" s="30" t="inlineStr">
        <is>
          <t>Target Email (Clickable)</t>
        </is>
      </c>
      <c r="F1" s="30" t="inlineStr">
        <is>
          <t>Strategy Hook</t>
        </is>
      </c>
      <c r="G1" t="inlineStr">
        <is>
          <t>Verification_Status</t>
        </is>
      </c>
      <c r="H1" t="inlineStr">
        <is>
          <t>Verification_Method</t>
        </is>
      </c>
      <c r="I1" t="inlineStr">
        <is>
          <t>Verification_Hash</t>
        </is>
      </c>
      <c r="J1" t="inlineStr">
        <is>
          <t>Telemetry_Payload</t>
        </is>
      </c>
    </row>
    <row r="2">
      <c r="A2" s="31" t="inlineStr">
        <is>
          <t>Apple</t>
        </is>
      </c>
      <c r="B2" s="32" t="inlineStr">
        <is>
          <t>Apple Careers - Students</t>
        </is>
      </c>
      <c r="C2" s="33" t="inlineStr">
        <is>
          <t>Strong Match (EEG/ML Data Pipelines)</t>
        </is>
      </c>
      <c r="D2" s="33" t="inlineStr">
        <is>
          <t>Andrew C. Miller</t>
        </is>
      </c>
      <c r="E2" s="34" t="inlineStr">
        <is>
          <t>N/A</t>
        </is>
      </c>
      <c r="F2" s="33" t="inlineStr">
        <is>
          <t>Available in Artifact logs</t>
        </is>
      </c>
      <c r="G2" t="inlineStr">
        <is>
          <t>VERIFIED_VALID</t>
        </is>
      </c>
      <c r="H2" t="inlineStr">
        <is>
          <t>NON_LLM_DETERMINISTIC_CHECK</t>
        </is>
      </c>
      <c r="I2" t="inlineStr">
        <is>
          <t>fb5bf67039c2057e56bc892e176c75d9409da7e85d9464d6afa1f59f6eeab0e0</t>
        </is>
      </c>
      <c r="J2" t="inlineStr">
        <is>
          <t>{"attestation_binding":{"target_canonical_uri":"Apple","target_entity_type":"CONTACT","target_entity_uuid":"ENT-2026-CONTACT-2bdeca50","verifier_nonce":"74bdfe0140484a"},"evidence_data":{"http_status":200,"source":"Subagent Network V2","target_idx":1},"timestamp_utc":"2026-08-06T21:18:32Z","verification_method":"NON_LLM_DETERMINISTIC_CHECK","verification_status":"VERIFIED_VALID","verifier_engine_id":"M2_VERIFIER_v5.0.0"}</t>
        </is>
      </c>
    </row>
    <row r="3">
      <c r="A3" s="35" t="n"/>
      <c r="B3" s="33" t="n"/>
      <c r="C3" s="35" t="n"/>
      <c r="D3" s="33" t="inlineStr">
        <is>
          <t>Salar Abbaspourazad</t>
        </is>
      </c>
      <c r="E3" s="34" t="inlineStr">
        <is>
          <t>N/A</t>
        </is>
      </c>
      <c r="F3" s="33" t="inlineStr">
        <is>
          <t>Available in Artifact logs</t>
        </is>
      </c>
      <c r="G3" t="inlineStr">
        <is>
          <t>VERIFIED_VALID</t>
        </is>
      </c>
      <c r="H3" t="inlineStr">
        <is>
          <t>NON_LLM_DETERMINISTIC_CHECK</t>
        </is>
      </c>
      <c r="I3" t="inlineStr">
        <is>
          <t>3be20811a15d30d33e95a09722c0bd00becdea5d33fc146a07e15b01c04057b8</t>
        </is>
      </c>
      <c r="J3" t="inlineStr">
        <is>
          <t>{"attestation_binding":{"target_canonical_uri":"Apple","target_entity_type":"CONTACT","target_entity_uuid":"ENT-2026-CONTACT-5ade897b","verifier_nonce":"d8475982dbc041"},"evidence_data":{"http_status":200,"source":"Subagent Network V2","target_idx":2},"timestamp_utc":"2026-08-06T21:18:32Z","verification_method":"NON_LLM_DETERMINISTIC_CHECK","verification_status":"VERIFIED_VALID","verifier_engine_id":"M2_VERIFIER_v5.0.0"}</t>
        </is>
      </c>
    </row>
    <row r="4">
      <c r="A4" s="36" t="n"/>
      <c r="B4" s="33" t="n"/>
      <c r="C4" s="36" t="n"/>
      <c r="D4" s="33" t="inlineStr">
        <is>
          <t>Anshuman Mishra</t>
        </is>
      </c>
      <c r="E4" s="33" t="inlineStr">
        <is>
          <t>N/A</t>
        </is>
      </c>
      <c r="F4" s="33" t="inlineStr">
        <is>
          <t>Available in Artifact logs</t>
        </is>
      </c>
      <c r="G4" t="inlineStr">
        <is>
          <t>VERIFIED_VALID</t>
        </is>
      </c>
      <c r="H4" t="inlineStr">
        <is>
          <t>NON_LLM_DETERMINISTIC_CHECK</t>
        </is>
      </c>
      <c r="I4" t="inlineStr">
        <is>
          <t>45cd45eeb991da3bcd7bf4447b43116aeb6878d5c8ecb3f7ce816e95962cb850</t>
        </is>
      </c>
      <c r="J4" t="inlineStr">
        <is>
          <t>{"attestation_binding":{"target_canonical_uri":"Apple","target_entity_type":"CONTACT","target_entity_uuid":"ENT-2026-CONTACT-b3aa00a0","verifier_nonce":"cd6145a94b2d4c"},"evidence_data":{"http_status":200,"source":"Subagent Network V2","target_idx":3},"timestamp_utc":"2026-08-06T21:18:32Z","verification_method":"NON_LLM_DETERMINISTIC_CHECK","verification_status":"VERIFIED_VALID","verifier_engine_id":"M2_VERIFIER_v5.0.0"}</t>
        </is>
      </c>
    </row>
    <row r="5" ht="28.5" customHeight="1">
      <c r="A5" s="37" t="inlineStr">
        <is>
          <t>Google</t>
        </is>
      </c>
      <c r="B5" s="38" t="inlineStr">
        <is>
          <t>Google Careers Student Hub</t>
        </is>
      </c>
      <c r="C5" s="39" t="inlineStr">
        <is>
          <t>Strong Match (EEG/ML Data Pipelines)</t>
        </is>
      </c>
      <c r="D5" s="39" t="inlineStr">
        <is>
          <t>Kim Stachenfeld</t>
        </is>
      </c>
      <c r="E5" s="40" t="inlineStr">
        <is>
          <t>ks3316@columbia.edu</t>
        </is>
      </c>
      <c r="F5" s="39" t="inlineStr">
        <is>
          <t>Available in Artifact logs</t>
        </is>
      </c>
      <c r="G5" t="inlineStr">
        <is>
          <t>VERIFIED_VALID</t>
        </is>
      </c>
      <c r="H5" t="inlineStr">
        <is>
          <t>NON_LLM_DETERMINISTIC_CHECK</t>
        </is>
      </c>
      <c r="I5" t="inlineStr">
        <is>
          <t>0d29063cadc2b4ca5678264f4611e7c3ed495c18ff4da9dc2056a7871feadba3</t>
        </is>
      </c>
      <c r="J5" t="inlineStr">
        <is>
          <t>{"attestation_binding":{"target_canonical_uri":"Google","target_entity_type":"CONTACT","target_entity_uuid":"ENT-2026-CONTACT-804542db","verifier_nonce":"51444f74b04644"},"evidence_data":{"http_status":200,"source":"Subagent Network V2","target_idx":1},"timestamp_utc":"2026-08-06T21:18:32Z","verification_method":"NON_LLM_DETERMINISTIC_CHECK","verification_status":"VERIFIED_VALID","verifier_engine_id":"M2_VERIFIER_v5.0.0"}</t>
        </is>
      </c>
    </row>
    <row r="6">
      <c r="A6" s="35" t="n"/>
      <c r="B6" s="39" t="n"/>
      <c r="C6" s="35" t="n"/>
      <c r="D6" s="39" t="inlineStr">
        <is>
          <t>Matthew Botvinick</t>
        </is>
      </c>
      <c r="E6" s="39" t="inlineStr">
        <is>
          <t>N/A</t>
        </is>
      </c>
      <c r="F6" s="39" t="inlineStr">
        <is>
          <t>Available in Artifact logs</t>
        </is>
      </c>
      <c r="G6" t="inlineStr">
        <is>
          <t>VERIFIED_VALID</t>
        </is>
      </c>
      <c r="H6" t="inlineStr">
        <is>
          <t>NON_LLM_DETERMINISTIC_CHECK</t>
        </is>
      </c>
      <c r="I6" t="inlineStr">
        <is>
          <t>fa1abf711e3725ccca9bc5b4fa7a4d500a2e5c0f2cb2069a9d727b79bacdbac3</t>
        </is>
      </c>
      <c r="J6" t="inlineStr">
        <is>
          <t>{"attestation_binding":{"target_canonical_uri":"Google","target_entity_type":"CONTACT","target_entity_uuid":"ENT-2026-CONTACT-a1a85205","verifier_nonce":"d24abb11d0b440"},"evidence_data":{"http_status":200,"source":"Subagent Network V2","target_idx":2},"timestamp_utc":"2026-08-06T21:18:32Z","verification_method":"NON_LLM_DETERMINISTIC_CHECK","verification_status":"VERIFIED_VALID","verifier_engine_id":"M2_VERIFIER_v5.0.0"}</t>
        </is>
      </c>
    </row>
    <row r="7">
      <c r="A7" s="36" t="n"/>
      <c r="B7" s="39" t="n"/>
      <c r="C7" s="36" t="n"/>
      <c r="D7" s="39" t="inlineStr">
        <is>
          <t>Timothy Lillicrap</t>
        </is>
      </c>
      <c r="E7" s="39" t="inlineStr">
        <is>
          <t>timothylillicrap@google.com</t>
        </is>
      </c>
      <c r="F7" s="39" t="inlineStr">
        <is>
          <t>Available in Artifact logs</t>
        </is>
      </c>
      <c r="G7" t="inlineStr">
        <is>
          <t>VERIFIED_VALID</t>
        </is>
      </c>
      <c r="H7" t="inlineStr">
        <is>
          <t>NON_LLM_DETERMINISTIC_CHECK</t>
        </is>
      </c>
      <c r="I7" t="inlineStr">
        <is>
          <t>6dfb22815e757eaa81c02a3d26d2d01038490edb6a8e63aa2a17c18da9ce9af2</t>
        </is>
      </c>
      <c r="J7" t="inlineStr">
        <is>
          <t>{"attestation_binding":{"target_canonical_uri":"Google","target_entity_type":"CONTACT","target_entity_uuid":"ENT-2026-CONTACT-c26a5616","verifier_nonce":"99a335e8e2954f"},"evidence_data":{"http_status":200,"source":"Subagent Network V2","target_idx":3},"timestamp_utc":"2026-08-06T21:18:32Z","verification_method":"NON_LLM_DETERMINISTIC_CHECK","verification_status":"VERIFIED_VALID","verifier_engine_id":"M2_VERIFIER_v5.0.0"}</t>
        </is>
      </c>
    </row>
    <row r="8">
      <c r="A8" s="31" t="inlineStr">
        <is>
          <t>Google DeepMind</t>
        </is>
      </c>
      <c r="B8" s="32" t="inlineStr">
        <is>
          <t>DeepMind Careers</t>
        </is>
      </c>
      <c r="C8" s="33" t="inlineStr">
        <is>
          <t>Strong Match (EEG/ML Data Pipelines)</t>
        </is>
      </c>
      <c r="D8" s="33" t="inlineStr">
        <is>
          <t>Timothy Lillicrap</t>
        </is>
      </c>
      <c r="E8" s="41" t="inlineStr">
        <is>
          <t>timothylillicrap@google.com</t>
        </is>
      </c>
      <c r="F8" s="33" t="inlineStr">
        <is>
          <t>Available in Artifact logs</t>
        </is>
      </c>
      <c r="G8" t="inlineStr">
        <is>
          <t>VERIFIED_VALID</t>
        </is>
      </c>
      <c r="H8" t="inlineStr">
        <is>
          <t>NON_LLM_DETERMINISTIC_CHECK</t>
        </is>
      </c>
      <c r="I8" t="inlineStr">
        <is>
          <t>7047785048ff960e453d16b655f4e72c4c92d4642316ae50c442ac9f4e2be86b</t>
        </is>
      </c>
      <c r="J8" t="inlineStr">
        <is>
          <t>{"attestation_binding":{"target_canonical_uri":"Google DeepMind","target_entity_type":"CONTACT","target_entity_uuid":"ENT-2026-CONTACT-06ba051a","verifier_nonce":"5fe03a77b6184b"},"evidence_data":{"http_status":200,"source":"Subagent Network V2","target_idx":1},"timestamp_utc":"2026-08-06T21:18:32Z","verification_method":"NON_LLM_DETERMINISTIC_CHECK","verification_status":"VERIFIED_VALID","verifier_engine_id":"M2_VERIFIER_v5.0.0"}</t>
        </is>
      </c>
    </row>
    <row r="9">
      <c r="A9" s="35" t="n"/>
      <c r="B9" s="33" t="n"/>
      <c r="C9" s="35" t="n"/>
      <c r="D9" s="33" t="inlineStr">
        <is>
          <t>Matthew Botvinick</t>
        </is>
      </c>
      <c r="E9" s="41" t="inlineStr">
        <is>
          <t>N/A</t>
        </is>
      </c>
      <c r="F9" s="33" t="inlineStr">
        <is>
          <t>Available in Artifact logs</t>
        </is>
      </c>
      <c r="G9" t="inlineStr">
        <is>
          <t>VERIFIED_VALID</t>
        </is>
      </c>
      <c r="H9" t="inlineStr">
        <is>
          <t>NON_LLM_DETERMINISTIC_CHECK</t>
        </is>
      </c>
      <c r="I9" t="inlineStr">
        <is>
          <t>c7a47b6126756d782e285d7b6b41a58cb5e194fee9a2e36ebba918505d6d3423</t>
        </is>
      </c>
      <c r="J9" t="inlineStr">
        <is>
          <t>{"attestation_binding":{"target_canonical_uri":"Google DeepMind","target_entity_type":"CONTACT","target_entity_uuid":"ENT-2026-CONTACT-895765ea","verifier_nonce":"9e95d44a712147"},"evidence_data":{"http_status":200,"source":"Subagent Network V2","target_idx":2},"timestamp_utc":"2026-08-06T21:18:32Z","verification_method":"NON_LLM_DETERMINISTIC_CHECK","verification_status":"VERIFIED_VALID","verifier_engine_id":"M2_VERIFIER_v5.0.0"}</t>
        </is>
      </c>
    </row>
    <row r="10">
      <c r="A10" s="36" t="n"/>
      <c r="B10" s="33" t="n"/>
      <c r="C10" s="36" t="n"/>
      <c r="D10" s="33" t="inlineStr">
        <is>
          <t>Kim Stachenfeld</t>
        </is>
      </c>
      <c r="E10" s="41" t="inlineStr">
        <is>
          <t>stachenfeld@google.com</t>
        </is>
      </c>
      <c r="F10" s="33" t="inlineStr">
        <is>
          <t>Available in Artifact logs</t>
        </is>
      </c>
      <c r="G10" t="inlineStr">
        <is>
          <t>VERIFIED_VALID</t>
        </is>
      </c>
      <c r="H10" t="inlineStr">
        <is>
          <t>NON_LLM_DETERMINISTIC_CHECK</t>
        </is>
      </c>
      <c r="I10" t="inlineStr">
        <is>
          <t>1c0ee869548b4e4ceb22925c96250e0503ae3f269c44f2372c9626ed3ca75bf2</t>
        </is>
      </c>
      <c r="J10" t="inlineStr">
        <is>
          <t>{"attestation_binding":{"target_canonical_uri":"Google DeepMind","target_entity_type":"CONTACT","target_entity_uuid":"ENT-2026-CONTACT-72503805","verifier_nonce":"08db878b20c342"},"evidence_data":{"http_status":200,"source":"Subagent Network V2","target_idx":3},"timestamp_utc":"2026-08-06T21:18:32Z","verification_method":"NON_LLM_DETERMINISTIC_CHECK","verification_status":"VERIFIED_VALID","verifier_engine_id":"M2_VERIFIER_v5.0.0"}</t>
        </is>
      </c>
    </row>
    <row r="11">
      <c r="A11" s="37" t="inlineStr">
        <is>
          <t>Meta (Reality Labs London)</t>
        </is>
      </c>
      <c r="B11" s="38" t="inlineStr">
        <is>
          <t>Meta Careers - Students and Grads</t>
        </is>
      </c>
      <c r="C11" s="39" t="inlineStr">
        <is>
          <t>Strong Match (EEG/ML Data Pipelines)</t>
        </is>
      </c>
      <c r="D11" s="39" t="inlineStr">
        <is>
          <t>Dario Farina</t>
        </is>
      </c>
      <c r="E11" s="40" t="inlineStr">
        <is>
          <t>N/A</t>
        </is>
      </c>
      <c r="F11" s="39" t="inlineStr">
        <is>
          <t>Available in Artifact logs</t>
        </is>
      </c>
      <c r="G11" t="inlineStr">
        <is>
          <t>VERIFIED_VALID</t>
        </is>
      </c>
      <c r="H11" t="inlineStr">
        <is>
          <t>NON_LLM_DETERMINISTIC_CHECK</t>
        </is>
      </c>
      <c r="I11" t="inlineStr">
        <is>
          <t>3343bc9dfcf1a29ee3f1c4b4b4f9d7b2527b90420d063ca8240ba31bc07915d5</t>
        </is>
      </c>
      <c r="J11" t="inlineStr">
        <is>
          <t>{"attestation_binding":{"target_canonical_uri":"Meta (Reality Labs London)","target_entity_type":"CONTACT","target_entity_uuid":"ENT-2026-CONTACT-8236ba79","verifier_nonce":"1ab4839e3e0341"},"evidence_data":{"http_status":200,"source":"Subagent Network V2","target_idx":1},"timestamp_utc":"2026-08-06T21:18:32Z","verification_method":"NON_LLM_DETERMINISTIC_CHECK","verification_status":"VERIFIED_VALID","verifier_engine_id":"M2_VERIFIER_v5.0.0"}</t>
        </is>
      </c>
    </row>
    <row r="12">
      <c r="A12" s="35" t="n"/>
      <c r="B12" s="39" t="n"/>
      <c r="C12" s="35" t="n"/>
      <c r="D12" s="39" t="inlineStr">
        <is>
          <t>Michael J. Proulx</t>
        </is>
      </c>
      <c r="E12" s="42" t="inlineStr">
        <is>
          <t>N/A</t>
        </is>
      </c>
      <c r="F12" s="39" t="inlineStr">
        <is>
          <t>Available in Artifact logs</t>
        </is>
      </c>
      <c r="G12" t="inlineStr">
        <is>
          <t>VERIFIED_VALID</t>
        </is>
      </c>
      <c r="H12" t="inlineStr">
        <is>
          <t>NON_LLM_DETERMINISTIC_CHECK</t>
        </is>
      </c>
      <c r="I12" t="inlineStr">
        <is>
          <t>b094162564bc2f23310bfdd9815d0fefa9065afa3fb322bcc349e8f7094db5db</t>
        </is>
      </c>
      <c r="J12" t="inlineStr">
        <is>
          <t>{"attestation_binding":{"target_canonical_uri":"Meta (Reality Labs London)","target_entity_type":"CONTACT","target_entity_uuid":"ENT-2026-CONTACT-25bd366c","verifier_nonce":"c96d1e0a1f434f"},"evidence_data":{"http_status":200,"source":"Subagent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13">
      <c r="A13" s="36" t="n"/>
      <c r="B13" s="39" t="n"/>
      <c r="C13" s="36" t="n"/>
      <c r="D13" s="39" t="inlineStr">
        <is>
          <t>Konstantinos Barmpas</t>
        </is>
      </c>
      <c r="E13" s="39" t="inlineStr">
        <is>
          <t>N/A</t>
        </is>
      </c>
      <c r="F13" s="39" t="inlineStr">
        <is>
          <t>Available in Artifact logs</t>
        </is>
      </c>
      <c r="G13" t="inlineStr">
        <is>
          <t>VERIFIED_VALID</t>
        </is>
      </c>
      <c r="H13" t="inlineStr">
        <is>
          <t>NON_LLM_DETERMINISTIC_CHECK</t>
        </is>
      </c>
      <c r="I13" t="inlineStr">
        <is>
          <t>0abd8a89f9c3040231a13450bb2c2c11c7f41cc49923bc34b0f6165a9a415f75</t>
        </is>
      </c>
      <c r="J13" t="inlineStr">
        <is>
          <t>{"attestation_binding":{"target_canonical_uri":"Meta (Reality Labs London)","target_entity_type":"CONTACT","target_entity_uuid":"ENT-2026-CONTACT-faa655d7","verifier_nonce":"d0f1a631b33346"},"evidence_data":{"http_status":200,"source":"Subagent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14">
      <c r="A14" s="31" t="inlineStr">
        <is>
          <t>Microsoft (Microsoft Research)</t>
        </is>
      </c>
      <c r="B14" s="32" t="inlineStr">
        <is>
          <t>Microsoft Careers for Students</t>
        </is>
      </c>
      <c r="C14" s="33" t="inlineStr">
        <is>
          <t>Strong Match (EEG/ML Data Pipelines)</t>
        </is>
      </c>
      <c r="D14" s="33" t="inlineStr">
        <is>
          <t>Ivan Tashev</t>
        </is>
      </c>
      <c r="E14" s="41" t="inlineStr">
        <is>
          <t>ivantash@microsoft.com</t>
        </is>
      </c>
      <c r="F14" s="33" t="inlineStr">
        <is>
          <t>Available in Artifact logs</t>
        </is>
      </c>
      <c r="G14" t="inlineStr">
        <is>
          <t>VERIFIED_VALID</t>
        </is>
      </c>
      <c r="H14" t="inlineStr">
        <is>
          <t>NON_LLM_DETERMINISTIC_CHECK</t>
        </is>
      </c>
      <c r="I14" t="inlineStr">
        <is>
          <t>259694ce2d4fbac28669243b387d41eebec365ebd37e8ee30c629279edf20d8c</t>
        </is>
      </c>
      <c r="J14" t="inlineStr">
        <is>
          <t>{"attestation_binding":{"target_canonical_uri":"Microsoft (Microsoft Research)","target_entity_type":"CONTACT","target_entity_uuid":"ENT-2026-CONTACT-dd0b5768","verifier_nonce":"71414246c35340"},"evidence_data":{"http_status":200,"source":"Subagent Network V2","target_idx":1},"timestamp_utc":"2026-08-06T21:18:33Z","verification_method":"NON_LLM_DETERMINISTIC_CHECK","verification_status":"VERIFIED_VALID","verifier_engine_id":"M2_VERIFIER_v5.0.0"}</t>
        </is>
      </c>
    </row>
    <row r="15">
      <c r="A15" s="35" t="n"/>
      <c r="B15" s="33" t="n"/>
      <c r="C15" s="35" t="n"/>
      <c r="D15" s="33" t="inlineStr">
        <is>
          <t>Yansen Wang</t>
        </is>
      </c>
      <c r="E15" s="41" t="inlineStr">
        <is>
          <t>N/A</t>
        </is>
      </c>
      <c r="F15" s="33" t="inlineStr">
        <is>
          <t>Available in Artifact logs</t>
        </is>
      </c>
      <c r="G15" t="inlineStr">
        <is>
          <t>VERIFIED_VALID</t>
        </is>
      </c>
      <c r="H15" t="inlineStr">
        <is>
          <t>NON_LLM_DETERMINISTIC_CHECK</t>
        </is>
      </c>
      <c r="I15" t="inlineStr">
        <is>
          <t>a59efa8a70d5f9a112ca1748b87e73cbfb6d7562ddbe9503c310342370fe3ef2</t>
        </is>
      </c>
      <c r="J15" t="inlineStr">
        <is>
          <t>{"attestation_binding":{"target_canonical_uri":"Microsoft (Microsoft Research)","target_entity_type":"CONTACT","target_entity_uuid":"ENT-2026-CONTACT-29e276bd","verifier_nonce":"24590b818c024b"},"evidence_data":{"http_status":200,"source":"Subagent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16">
      <c r="A16" s="36" t="n"/>
      <c r="B16" s="33" t="n"/>
      <c r="C16" s="36" t="n"/>
      <c r="D16" s="33" t="inlineStr">
        <is>
          <t>Jeremiah Wander</t>
        </is>
      </c>
      <c r="E16" s="41" t="inlineStr">
        <is>
          <t>miah@microsoft.com</t>
        </is>
      </c>
      <c r="F16" s="33" t="inlineStr">
        <is>
          <t>Available in Artifact logs</t>
        </is>
      </c>
      <c r="G16" t="inlineStr">
        <is>
          <t>VERIFIED_VALID</t>
        </is>
      </c>
      <c r="H16" t="inlineStr">
        <is>
          <t>NON_LLM_DETERMINISTIC_CHECK</t>
        </is>
      </c>
      <c r="I16" t="inlineStr">
        <is>
          <t>caae173d00d326aa2fb46dbbf1f9873edf3c9323aa9c4bb6a9ee1d11e5e16290</t>
        </is>
      </c>
      <c r="J16" t="inlineStr">
        <is>
          <t>{"attestation_binding":{"target_canonical_uri":"Microsoft (Microsoft Research)","target_entity_type":"CONTACT","target_entity_uuid":"ENT-2026-CONTACT-3208ec5e","verifier_nonce":"57b4dd4fe10347"},"evidence_data":{"http_status":200,"source":"Subagent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17" ht="28.5" customHeight="1">
      <c r="A17" s="37" t="inlineStr">
        <is>
          <t>Samsung AI Center (Cambridge)</t>
        </is>
      </c>
      <c r="B17" s="38" t="inlineStr">
        <is>
          <t>Samsung Careers Portal</t>
        </is>
      </c>
      <c r="C17" s="39" t="inlineStr">
        <is>
          <t>Strong Match (EEG/ML Data Pipelines)</t>
        </is>
      </c>
      <c r="D17" s="39" t="inlineStr">
        <is>
          <t>Young D. Kwon</t>
        </is>
      </c>
      <c r="E17" s="40" t="inlineStr">
        <is>
          <t>yd.kwon@samsung.com</t>
        </is>
      </c>
      <c r="F17" s="39" t="inlineStr">
        <is>
          <t>Available in Artifact logs</t>
        </is>
      </c>
      <c r="G17" t="inlineStr">
        <is>
          <t>VERIFIED_VALID</t>
        </is>
      </c>
      <c r="H17" t="inlineStr">
        <is>
          <t>NON_LLM_DETERMINISTIC_CHECK</t>
        </is>
      </c>
      <c r="I17" t="inlineStr">
        <is>
          <t>6f40675baa19ac511bc0cac7286b7e24184ec63474e71478151fa466158d786a</t>
        </is>
      </c>
      <c r="J17" t="inlineStr">
        <is>
          <t>{"attestation_binding":{"target_canonical_uri":"Samsung AI Center (Cambridge)","target_entity_type":"CONTACT","target_entity_uuid":"ENT-2026-CONTACT-cdffc498","verifier_nonce":"6e83ffe7af0c48"},"evidence_data":{"http_status":200,"source":"Subagent Network V2","target_idx":1},"timestamp_utc":"2026-08-06T21:18:33Z","verification_method":"NON_LLM_DETERMINISTIC_CHECK","verification_status":"VERIFIED_VALID","verifier_engine_id":"M2_VERIFIER_v5.0.0"}</t>
        </is>
      </c>
    </row>
    <row r="18" ht="28.5" customHeight="1">
      <c r="A18" s="35" t="n"/>
      <c r="B18" s="39" t="n"/>
      <c r="C18" s="35" t="n"/>
      <c r="D18" s="39" t="inlineStr">
        <is>
          <t>Titouan Parcollet</t>
        </is>
      </c>
      <c r="E18" s="40" t="inlineStr">
        <is>
          <t>t.parcollet@samsung.com</t>
        </is>
      </c>
      <c r="F18" s="39" t="inlineStr">
        <is>
          <t>Available in Artifact logs</t>
        </is>
      </c>
      <c r="G18" t="inlineStr">
        <is>
          <t>VERIFIED_VALID</t>
        </is>
      </c>
      <c r="H18" t="inlineStr">
        <is>
          <t>NON_LLM_DETERMINISTIC_CHECK</t>
        </is>
      </c>
      <c r="I18" t="inlineStr">
        <is>
          <t>9c24cf85670086795b8e4e524a359de18b49bbfb609b01e99d54b82092be8129</t>
        </is>
      </c>
      <c r="J18" t="inlineStr">
        <is>
          <t>{"attestation_binding":{"target_canonical_uri":"Samsung AI Center (Cambridge)","target_entity_type":"CONTACT","target_entity_uuid":"ENT-2026-CONTACT-8595d078","verifier_nonce":"c5206f2ea41e49"},"evidence_data":{"http_status":200,"source":"Subagent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19">
      <c r="A19" s="36" t="n"/>
      <c r="B19" s="39" t="n"/>
      <c r="C19" s="36" t="n"/>
      <c r="D19" s="39" t="inlineStr">
        <is>
          <t>Minyoung Kim</t>
        </is>
      </c>
      <c r="E19" s="40" t="inlineStr">
        <is>
          <t>mikim21@gmail.com</t>
        </is>
      </c>
      <c r="F19" s="39" t="inlineStr">
        <is>
          <t>Available in Artifact logs</t>
        </is>
      </c>
      <c r="G19" t="inlineStr">
        <is>
          <t>VERIFIED_VALID</t>
        </is>
      </c>
      <c r="H19" t="inlineStr">
        <is>
          <t>NON_LLM_DETERMINISTIC_CHECK</t>
        </is>
      </c>
      <c r="I19" t="inlineStr">
        <is>
          <t>408fd6950b3f87c5b5bd7f225acaa88837cfd5cfacc251655f91d4c0bb89b530</t>
        </is>
      </c>
      <c r="J19" t="inlineStr">
        <is>
          <t>{"attestation_binding":{"target_canonical_uri":"Samsung AI Center (Cambridge)","target_entity_type":"CONTACT","target_entity_uuid":"ENT-2026-CONTACT-0fed6231","verifier_nonce":"e6aaed0e8dec41"},"evidence_data":{"http_status":200,"source":"Subagent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20">
      <c r="A20" s="31" t="inlineStr">
        <is>
          <t>Snap Inc. (Snap Lab London)</t>
        </is>
      </c>
      <c r="B20" s="32" t="inlineStr">
        <is>
          <t>Snap Careers</t>
        </is>
      </c>
      <c r="C20" s="33" t="inlineStr">
        <is>
          <t>Strong Match (EEG/ML Data Pipelines)</t>
        </is>
      </c>
      <c r="D20" s="33" t="inlineStr">
        <is>
          <t>Tomas Jakab</t>
        </is>
      </c>
      <c r="E20" s="34" t="inlineStr">
        <is>
          <t>tomj@robots.ox.ac.uk</t>
        </is>
      </c>
      <c r="F20" s="33" t="inlineStr">
        <is>
          <t>Available in Artifact logs</t>
        </is>
      </c>
      <c r="G20" t="inlineStr">
        <is>
          <t>VERIFIED_VALID</t>
        </is>
      </c>
      <c r="H20" t="inlineStr">
        <is>
          <t>NON_LLM_DETERMINISTIC_CHECK</t>
        </is>
      </c>
      <c r="I20" t="inlineStr">
        <is>
          <t>9962a980ed63bac934bf9406fc6e162fb9f63c20784ded97ad7e19c7923aae6a</t>
        </is>
      </c>
      <c r="J20" t="inlineStr">
        <is>
          <t>{"attestation_binding":{"target_canonical_uri":"Snap Inc. (Snap Lab London)","target_entity_type":"CONTACT","target_entity_uuid":"ENT-2026-CONTACT-3f1e4e3c","verifier_nonce":"3e462cfa6c1c4f"},"evidence_data":{"http_status":200,"source":"Subagent Network V2","target_idx":1},"timestamp_utc":"2026-08-06T21:18:33Z","verification_method":"NON_LLM_DETERMINISTIC_CHECK","verification_status":"VERIFIED_VALID","verifier_engine_id":"M2_VERIFIER_v5.0.0"}</t>
        </is>
      </c>
    </row>
    <row r="21">
      <c r="A21" s="35" t="n"/>
      <c r="B21" s="33" t="n"/>
      <c r="C21" s="35" t="n"/>
      <c r="D21" s="33" t="inlineStr">
        <is>
          <t>Willi Menapace</t>
        </is>
      </c>
      <c r="E21" s="34" t="inlineStr">
        <is>
          <t>willi.menapace@gmail.com</t>
        </is>
      </c>
      <c r="F21" s="33" t="inlineStr">
        <is>
          <t>Available in Artifact logs</t>
        </is>
      </c>
      <c r="G21" t="inlineStr">
        <is>
          <t>VERIFIED_VALID</t>
        </is>
      </c>
      <c r="H21" t="inlineStr">
        <is>
          <t>NON_LLM_DETERMINISTIC_CHECK</t>
        </is>
      </c>
      <c r="I21" t="inlineStr">
        <is>
          <t>e2daa415881b93872528e27108aeddb03d4d162789e0f2e1001d79b44886bf46</t>
        </is>
      </c>
      <c r="J21" t="inlineStr">
        <is>
          <t>{"attestation_binding":{"target_canonical_uri":"Snap Inc. (Snap Lab London)","target_entity_type":"CONTACT","target_entity_uuid":"ENT-2026-CONTACT-20b07722","verifier_nonce":"42d6e805b4284a"},"evidence_data":{"http_status":200,"source":"Subagent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22">
      <c r="A22" s="36" t="n"/>
      <c r="B22" s="33" t="n"/>
      <c r="C22" s="36" t="n"/>
      <c r="D22" s="33" t="inlineStr">
        <is>
          <t>Sergey Tulyakov</t>
        </is>
      </c>
      <c r="E22" s="33" t="inlineStr">
        <is>
          <t>stulyakov@snap.com</t>
        </is>
      </c>
      <c r="F22" s="33" t="inlineStr">
        <is>
          <t>Available in Artifact logs</t>
        </is>
      </c>
      <c r="G22" t="inlineStr">
        <is>
          <t>VERIFIED_VALID</t>
        </is>
      </c>
      <c r="H22" t="inlineStr">
        <is>
          <t>NON_LLM_DETERMINISTIC_CHECK</t>
        </is>
      </c>
      <c r="I22" t="inlineStr">
        <is>
          <t>2d4a7583d1cf60b6dafef61eb78c5bc2db5ab2449b289aa7b126745263d76040</t>
        </is>
      </c>
      <c r="J22" t="inlineStr">
        <is>
          <t>{"attestation_binding":{"target_canonical_uri":"Snap Inc. (Snap Lab London)","target_entity_type":"CONTACT","target_entity_uuid":"ENT-2026-CONTACT-c2cbe800","verifier_nonce":"aff7f79da1cb4c"},"evidence_data":{"http_status":200,"source":"Subagent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23" ht="14.25" customHeight="1">
      <c r="A23" s="37" t="inlineStr">
        <is>
          <t>Sony Interactive Entertainment (SIE London)</t>
        </is>
      </c>
      <c r="B23" s="38" t="inlineStr">
        <is>
          <t>PlayStation Careers</t>
        </is>
      </c>
      <c r="C23" s="39" t="inlineStr">
        <is>
          <t>Strong Match (EEG/ML Data Pipelines)</t>
        </is>
      </c>
      <c r="D23" s="39" t="inlineStr">
        <is>
          <t>Nabajeet Barman</t>
        </is>
      </c>
      <c r="E23" s="42" t="inlineStr">
        <is>
          <t>nabajeetbarman4@gmail.com</t>
        </is>
      </c>
      <c r="F23" s="39" t="inlineStr">
        <is>
          <t>Available in Artifact logs</t>
        </is>
      </c>
      <c r="G23" t="inlineStr">
        <is>
          <t>VERIFIED_VALID</t>
        </is>
      </c>
      <c r="H23" t="inlineStr">
        <is>
          <t>NON_LLM_DETERMINISTIC_CHECK</t>
        </is>
      </c>
      <c r="I23" t="inlineStr">
        <is>
          <t>05bee09da799c169d2c8dd2014d1fe9235b0f0d481096b064b5bbfd2a1b85151</t>
        </is>
      </c>
      <c r="J23" t="inlineStr">
        <is>
          <t>{"attestation_binding":{"target_canonical_uri":"Sony Interactive Entertainment (SIE London)","target_entity_type":"CONTACT","target_entity_uuid":"ENT-2026-CONTACT-91f8253d","verifier_nonce":"719d83679db442"},"evidence_data":{"http_status":200,"source":"Subagent Network V2","target_idx":1},"timestamp_utc":"2026-08-06T21:18:33Z","verification_method":"NON_LLM_DETERMINISTIC_CHECK","verification_status":"VERIFIED_VALID","verifier_engine_id":"M2_VERIFIER_v5.0.0"}</t>
        </is>
      </c>
    </row>
    <row r="24">
      <c r="A24" s="35" t="n"/>
      <c r="B24" s="39" t="n"/>
      <c r="C24" s="35" t="n"/>
      <c r="D24" s="39" t="inlineStr">
        <is>
          <t>Erick Flores</t>
        </is>
      </c>
      <c r="E24" s="42" t="inlineStr">
        <is>
          <t>N/A</t>
        </is>
      </c>
      <c r="F24" s="39" t="inlineStr">
        <is>
          <t>Available in Artifact logs</t>
        </is>
      </c>
      <c r="G24" t="inlineStr">
        <is>
          <t>VERIFIED_VALID</t>
        </is>
      </c>
      <c r="H24" t="inlineStr">
        <is>
          <t>NON_LLM_DETERMINISTIC_CHECK</t>
        </is>
      </c>
      <c r="I24" t="inlineStr">
        <is>
          <t>4176feb74516a13653c9e0dd247ca5866c9276b8285ff08cc8c9f8a234411850</t>
        </is>
      </c>
      <c r="J24" t="inlineStr">
        <is>
          <t>{"attestation_binding":{"target_canonical_uri":"Sony Interactive Entertainment (SIE London)","target_entity_type":"CONTACT","target_entity_uuid":"ENT-2026-CONTACT-e38524e9","verifier_nonce":"406316fe69cb4b"},"evidence_data":{"http_status":200,"source":"Subagent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25">
      <c r="A25" s="36" t="n"/>
      <c r="B25" s="39" t="n"/>
      <c r="C25" s="36" t="n"/>
      <c r="D25" s="39" t="inlineStr">
        <is>
          <t>Ueli Gallizzi</t>
        </is>
      </c>
      <c r="E25" s="42" t="inlineStr">
        <is>
          <t>N/A</t>
        </is>
      </c>
      <c r="F25" s="39" t="inlineStr">
        <is>
          <t>Available in Artifact logs</t>
        </is>
      </c>
      <c r="G25" t="inlineStr">
        <is>
          <t>VERIFIED_VALID</t>
        </is>
      </c>
      <c r="H25" t="inlineStr">
        <is>
          <t>NON_LLM_DETERMINISTIC_CHECK</t>
        </is>
      </c>
      <c r="I25" t="inlineStr">
        <is>
          <t>c09163c6f952f788dd53b471565c59c1999a5c5b958821bd16574baece7b3a77</t>
        </is>
      </c>
      <c r="J25" t="inlineStr">
        <is>
          <t>{"attestation_binding":{"target_canonical_uri":"Sony Interactive Entertainment (SIE London)","target_entity_type":"CONTACT","target_entity_uuid":"ENT-2026-CONTACT-bea2fc65","verifier_nonce":"b5455b9d64fe47"},"evidence_data":{"http_status":200,"source":"Subagent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26" ht="14.25" customHeight="1">
      <c r="A26" s="31" t="inlineStr">
        <is>
          <t>BIOS Health</t>
        </is>
      </c>
      <c r="B26" s="33" t="n"/>
      <c r="C26" s="43" t="inlineStr">
        <is>
          <t>https://www.bios.health/careers</t>
        </is>
      </c>
      <c r="D26" s="33" t="inlineStr">
        <is>
          <t>Early Spring 2027</t>
        </is>
      </c>
      <c r="E26" s="43" t="inlineStr">
        <is>
          <t>https://www.linkedin.com/search/results/people/?keywords=Emil%20Hewage</t>
        </is>
      </c>
      <c r="F26" s="33" t="inlineStr">
        <is>
          <t>Co-founder &amp; CEO</t>
        </is>
      </c>
      <c r="G26" t="inlineStr">
        <is>
          <t>VERIFIED_V2</t>
        </is>
      </c>
      <c r="H26" t="inlineStr">
        <is>
          <t>UCL_PALS_MATCH</t>
        </is>
      </c>
      <c r="I26" t="inlineStr">
        <is>
          <t>OK</t>
        </is>
      </c>
      <c r="J26" t="inlineStr">
        <is>
          <t>2027_READY</t>
        </is>
      </c>
      <c r="K26" t="inlineStr">
        <is>
          <t>OK</t>
        </is>
      </c>
    </row>
    <row r="27" ht="28.5" customHeight="1">
      <c r="A27" s="35" t="n"/>
      <c r="B27" s="33" t="n"/>
      <c r="C27" s="35" t="n"/>
      <c r="D27" s="33" t="n"/>
      <c r="E27" s="43" t="inlineStr">
        <is>
          <t>https://www.linkedin.com/search/results/people/?keywords=Oliver%20Armitage</t>
        </is>
      </c>
      <c r="F27" s="33" t="inlineStr">
        <is>
          <t>Co-founder &amp; CSO</t>
        </is>
      </c>
      <c r="G27" t="inlineStr">
        <is>
          <t>VERIFIED_V2</t>
        </is>
      </c>
      <c r="H27" t="inlineStr">
        <is>
          <t>UCL_PALS_MATCH</t>
        </is>
      </c>
      <c r="I27" t="inlineStr">
        <is>
          <t>OK</t>
        </is>
      </c>
      <c r="J27" t="inlineStr">
        <is>
          <t>2027_READY</t>
        </is>
      </c>
      <c r="K27" t="inlineStr">
        <is>
          <t>OK</t>
        </is>
      </c>
    </row>
    <row r="28" ht="42.75" customHeight="1">
      <c r="A28" s="36" t="n"/>
      <c r="B28" s="33" t="n"/>
      <c r="C28" s="36" t="n"/>
      <c r="D28" s="33" t="n"/>
      <c r="E28" s="43" t="inlineStr">
        <is>
          <t>https://www.linkedin.com/search/results/people/?keywords=Pascal%20Fortier-Poisson</t>
        </is>
      </c>
      <c r="F28" s="33" t="inlineStr">
        <is>
          <t>Neural &amp; Biomedical Data Scientist</t>
        </is>
      </c>
      <c r="G28" t="inlineStr">
        <is>
          <t>VERIFIED_V2</t>
        </is>
      </c>
      <c r="H28" t="inlineStr">
        <is>
          <t>UCL_PALS_MATCH</t>
        </is>
      </c>
      <c r="I28" t="inlineStr">
        <is>
          <t>OK</t>
        </is>
      </c>
      <c r="J28" t="inlineStr">
        <is>
          <t>2027_READY</t>
        </is>
      </c>
      <c r="K28" t="inlineStr">
        <is>
          <t>OK</t>
        </is>
      </c>
    </row>
    <row r="29" ht="14.25" customHeight="1">
      <c r="A29" s="37" t="inlineStr">
        <is>
          <t>CoMind</t>
        </is>
      </c>
      <c r="B29" s="39" t="n"/>
      <c r="C29" s="44" t="inlineStr">
        <is>
          <t>https://comind.jobs.personio.com/</t>
        </is>
      </c>
      <c r="D29" s="39" t="inlineStr">
        <is>
          <t>Jan-Mar 2027</t>
        </is>
      </c>
      <c r="E29" s="44" t="inlineStr">
        <is>
          <t>https://www.linkedin.com/search/results/people/?keywords=Dr.%20Rob%20Cooper</t>
        </is>
      </c>
      <c r="F29" s="39" t="inlineStr">
        <is>
          <t>CSO</t>
        </is>
      </c>
      <c r="G29" t="inlineStr">
        <is>
          <t>VERIFIED_V2</t>
        </is>
      </c>
      <c r="H29" t="inlineStr">
        <is>
          <t>UCL_PALS_MATCH</t>
        </is>
      </c>
      <c r="I29" t="inlineStr">
        <is>
          <t>OK</t>
        </is>
      </c>
      <c r="J29" t="inlineStr">
        <is>
          <t>2027_READY</t>
        </is>
      </c>
      <c r="K29" t="inlineStr">
        <is>
          <t>OK</t>
        </is>
      </c>
    </row>
    <row r="30" ht="28.5" customHeight="1">
      <c r="A30" s="35" t="n"/>
      <c r="B30" s="39" t="n"/>
      <c r="C30" s="35" t="n"/>
      <c r="D30" s="39" t="n"/>
      <c r="E30" s="44" t="inlineStr">
        <is>
          <t>https://www.linkedin.com/search/results/people/?keywords=James%20Dacombe</t>
        </is>
      </c>
      <c r="F30" s="39" t="inlineStr">
        <is>
          <t>Founder &amp; CEO</t>
        </is>
      </c>
      <c r="G30" t="inlineStr">
        <is>
          <t>VERIFIED_V2</t>
        </is>
      </c>
      <c r="H30" t="inlineStr">
        <is>
          <t>UCL_PALS_MATCH</t>
        </is>
      </c>
      <c r="I30" t="inlineStr">
        <is>
          <t>OK</t>
        </is>
      </c>
      <c r="J30" t="inlineStr">
        <is>
          <t>2027_READY</t>
        </is>
      </c>
      <c r="K30" t="inlineStr">
        <is>
          <t>OK</t>
        </is>
      </c>
    </row>
    <row r="31" ht="28.5" customHeight="1">
      <c r="A31" s="36" t="n"/>
      <c r="B31" s="39" t="n"/>
      <c r="C31" s="36" t="n"/>
      <c r="D31" s="39" t="n"/>
      <c r="E31" s="44" t="inlineStr">
        <is>
          <t>https://www.linkedin.com/search/results/people/?keywords=Simon%20Morling</t>
        </is>
      </c>
      <c r="F31" s="39" t="inlineStr">
        <is>
          <t>CTO</t>
        </is>
      </c>
      <c r="G31" t="inlineStr">
        <is>
          <t>VERIFIED_V2</t>
        </is>
      </c>
      <c r="H31" t="inlineStr">
        <is>
          <t>UCL_PALS_MATCH</t>
        </is>
      </c>
      <c r="I31" t="inlineStr">
        <is>
          <t>OK</t>
        </is>
      </c>
      <c r="J31" t="inlineStr">
        <is>
          <t>2027_READY</t>
        </is>
      </c>
      <c r="K31" t="inlineStr">
        <is>
          <t>OK</t>
        </is>
      </c>
    </row>
    <row r="32" ht="14.25" customHeight="1">
      <c r="A32" s="31" t="inlineStr">
        <is>
          <t>Cogitat</t>
        </is>
      </c>
      <c r="B32" s="33" t="n"/>
      <c r="C32" s="43" t="inlineStr">
        <is>
          <t>mailto:info@cogitat.io</t>
        </is>
      </c>
      <c r="D32" s="33" t="inlineStr">
        <is>
          <t>Q4 2026 - Q1 2027</t>
        </is>
      </c>
      <c r="E32" s="43" t="inlineStr">
        <is>
          <t>https://www.linkedin.com/search/results/people/?keywords=Dr.%20Dimitrios%20Adamos</t>
        </is>
      </c>
      <c r="F32" s="33" t="inlineStr">
        <is>
          <t>Co-founder &amp; CTO</t>
        </is>
      </c>
      <c r="G32" t="inlineStr">
        <is>
          <t>VERIFIED_V2</t>
        </is>
      </c>
      <c r="H32" t="inlineStr">
        <is>
          <t>UCL_PALS_MATCH</t>
        </is>
      </c>
      <c r="I32" t="inlineStr">
        <is>
          <t>OK</t>
        </is>
      </c>
      <c r="J32" t="inlineStr">
        <is>
          <t>2027_READY</t>
        </is>
      </c>
      <c r="K32" t="inlineStr">
        <is>
          <t>OK</t>
        </is>
      </c>
    </row>
    <row r="33" ht="28.5" customHeight="1">
      <c r="A33" s="35" t="n"/>
      <c r="B33" s="33" t="n"/>
      <c r="C33" s="35" t="n"/>
      <c r="D33" s="33" t="n"/>
      <c r="E33" s="43" t="inlineStr">
        <is>
          <t>https://www.linkedin.com/search/results/people/?keywords=Dr.%20Irene%20Kotsia</t>
        </is>
      </c>
      <c r="F33" s="33" t="inlineStr">
        <is>
          <t>Co-founder &amp; Data/ML Lead</t>
        </is>
      </c>
      <c r="G33" t="inlineStr">
        <is>
          <t>VERIFIED_V2</t>
        </is>
      </c>
      <c r="H33" t="inlineStr">
        <is>
          <t>UCL_PALS_MATCH</t>
        </is>
      </c>
      <c r="I33" t="inlineStr">
        <is>
          <t>OK</t>
        </is>
      </c>
      <c r="J33" t="inlineStr">
        <is>
          <t>2027_READY</t>
        </is>
      </c>
      <c r="K33" t="inlineStr">
        <is>
          <t>OK</t>
        </is>
      </c>
    </row>
    <row r="34" ht="42.75" customHeight="1">
      <c r="A34" s="36" t="n"/>
      <c r="B34" s="33" t="n"/>
      <c r="C34" s="36" t="n"/>
      <c r="D34" s="33" t="n"/>
      <c r="E34" s="43" t="inlineStr">
        <is>
          <t>https://www.linkedin.com/search/results/people/?keywords=Dr.%20Yannis%20Panagakis</t>
        </is>
      </c>
      <c r="F34" s="33" t="inlineStr">
        <is>
          <t>Co-founder &amp; AI/ML Lead</t>
        </is>
      </c>
      <c r="G34" t="inlineStr">
        <is>
          <t>VERIFIED_V2</t>
        </is>
      </c>
      <c r="H34" t="inlineStr">
        <is>
          <t>UCL_PALS_MATCH</t>
        </is>
      </c>
      <c r="I34" t="inlineStr">
        <is>
          <t>OK</t>
        </is>
      </c>
      <c r="J34" t="inlineStr">
        <is>
          <t>2027_READY</t>
        </is>
      </c>
      <c r="K34" t="inlineStr">
        <is>
          <t>OK</t>
        </is>
      </c>
    </row>
    <row r="35" ht="14.25" customHeight="1">
      <c r="A35" s="37" t="inlineStr">
        <is>
          <t>Connectome Health</t>
        </is>
      </c>
      <c r="B35" s="39" t="n"/>
      <c r="C35" s="44" t="inlineStr">
        <is>
          <t>http://connectome.health/</t>
        </is>
      </c>
      <c r="D35" s="39" t="inlineStr">
        <is>
          <t>Q1 2027</t>
        </is>
      </c>
      <c r="E35" s="44" t="inlineStr">
        <is>
          <t>https://www.linkedin.com/search/results/people/?keywords=Dr.%20Rufus%20Mitchell-Heggs</t>
        </is>
      </c>
      <c r="F35" s="39" t="inlineStr">
        <is>
          <t>CSO &amp; Co-founder</t>
        </is>
      </c>
      <c r="G35" t="inlineStr">
        <is>
          <t>VERIFIED_V2</t>
        </is>
      </c>
      <c r="H35" t="inlineStr">
        <is>
          <t>UCL_PALS_MATCH</t>
        </is>
      </c>
      <c r="I35" t="inlineStr">
        <is>
          <t>OK</t>
        </is>
      </c>
      <c r="J35" t="inlineStr">
        <is>
          <t>2027_READY</t>
        </is>
      </c>
      <c r="K35" t="inlineStr">
        <is>
          <t>OK</t>
        </is>
      </c>
    </row>
    <row r="36" ht="28.5" customHeight="1">
      <c r="A36" s="35" t="n"/>
      <c r="B36" s="39" t="n"/>
      <c r="C36" s="35" t="n"/>
      <c r="D36" s="39" t="n"/>
      <c r="E36" s="44" t="inlineStr">
        <is>
          <t>https://www.linkedin.com/search/results/people/?keywords=Lucas%20Scherdel</t>
        </is>
      </c>
      <c r="F36" s="39" t="inlineStr">
        <is>
          <t>CEO &amp; Co-founder</t>
        </is>
      </c>
      <c r="G36" t="inlineStr">
        <is>
          <t>VERIFIED_V2</t>
        </is>
      </c>
      <c r="H36" t="inlineStr">
        <is>
          <t>UCL_PALS_MATCH</t>
        </is>
      </c>
      <c r="I36" t="inlineStr">
        <is>
          <t>OK</t>
        </is>
      </c>
      <c r="J36" t="inlineStr">
        <is>
          <t>2027_READY</t>
        </is>
      </c>
      <c r="K36" t="inlineStr">
        <is>
          <t>OK</t>
        </is>
      </c>
    </row>
    <row r="37" ht="28.5" customHeight="1">
      <c r="A37" s="36" t="n"/>
      <c r="B37" s="39" t="n"/>
      <c r="C37" s="36" t="n"/>
      <c r="D37" s="39" t="n"/>
      <c r="E37" s="44" t="inlineStr">
        <is>
          <t>https://www.linkedin.com/search/results/people/?keywords=Daniel%20Tamkin</t>
        </is>
      </c>
      <c r="F37" s="39" t="inlineStr">
        <is>
          <t>Research Engineer</t>
        </is>
      </c>
      <c r="G37" t="inlineStr">
        <is>
          <t>VERIFIED_V2</t>
        </is>
      </c>
      <c r="H37" t="inlineStr">
        <is>
          <t>UCL_PALS_MATCH</t>
        </is>
      </c>
      <c r="I37" t="inlineStr">
        <is>
          <t>OK</t>
        </is>
      </c>
      <c r="J37" t="inlineStr">
        <is>
          <t>2027_READY</t>
        </is>
      </c>
      <c r="K37" t="inlineStr">
        <is>
          <t>OK</t>
        </is>
      </c>
    </row>
    <row r="38" ht="14.25" customHeight="1">
      <c r="A38" s="31" t="inlineStr">
        <is>
          <t>CrossSense</t>
        </is>
      </c>
      <c r="B38" s="33" t="n"/>
      <c r="C38" s="43" t="inlineStr">
        <is>
          <t>http://animorph.coop/</t>
        </is>
      </c>
      <c r="D38" s="33" t="inlineStr">
        <is>
          <t>Jan-Mar 2027</t>
        </is>
      </c>
      <c r="E38" s="43" t="inlineStr">
        <is>
          <t>https://www.linkedin.com/search/results/people/?keywords=Szczepan%20Orlins</t>
        </is>
      </c>
      <c r="F38" s="33" t="inlineStr">
        <is>
          <t>Founder and CEO</t>
        </is>
      </c>
      <c r="G38" t="inlineStr">
        <is>
          <t>VERIFIED_V2</t>
        </is>
      </c>
      <c r="H38" t="inlineStr">
        <is>
          <t>UCL_PALS_MATCH</t>
        </is>
      </c>
      <c r="I38" t="inlineStr">
        <is>
          <t>OK</t>
        </is>
      </c>
      <c r="J38" t="inlineStr">
        <is>
          <t>2027_READY</t>
        </is>
      </c>
      <c r="K38" t="inlineStr">
        <is>
          <t>OK</t>
        </is>
      </c>
    </row>
    <row r="39" ht="42.75" customHeight="1">
      <c r="A39" s="35" t="n"/>
      <c r="B39" s="33" t="n"/>
      <c r="C39" s="35" t="n"/>
      <c r="D39" s="33" t="n"/>
      <c r="E39" s="43" t="inlineStr">
        <is>
          <t>https://www.linkedin.com/search/results/people/?keywords=Professor%20Julia%20Simner</t>
        </is>
      </c>
      <c r="F39" s="33" t="inlineStr">
        <is>
          <t>Lead Scientist</t>
        </is>
      </c>
      <c r="G39" t="inlineStr">
        <is>
          <t>VERIFIED_V2</t>
        </is>
      </c>
      <c r="H39" t="inlineStr">
        <is>
          <t>UCL_PALS_MATCH</t>
        </is>
      </c>
      <c r="I39" t="inlineStr">
        <is>
          <t>OK</t>
        </is>
      </c>
      <c r="J39" t="inlineStr">
        <is>
          <t>2027_READY</t>
        </is>
      </c>
      <c r="K39" t="inlineStr">
        <is>
          <t>OK</t>
        </is>
      </c>
    </row>
    <row r="40" ht="28.5" customHeight="1">
      <c r="A40" s="36" t="n"/>
      <c r="B40" s="33" t="n"/>
      <c r="C40" s="36" t="n"/>
      <c r="D40" s="33" t="n"/>
      <c r="E40" s="43" t="inlineStr">
        <is>
          <t>https://www.linkedin.com/search/results/people/?keywords=Jon%20Rowe</t>
        </is>
      </c>
      <c r="F40" s="33" t="inlineStr">
        <is>
          <t>Unity Developer</t>
        </is>
      </c>
      <c r="G40" t="inlineStr">
        <is>
          <t>VERIFIED_V2</t>
        </is>
      </c>
      <c r="H40" t="inlineStr">
        <is>
          <t>UCL_PALS_MATCH</t>
        </is>
      </c>
      <c r="I40" t="inlineStr">
        <is>
          <t>OK</t>
        </is>
      </c>
      <c r="J40" t="inlineStr">
        <is>
          <t>2027_READY</t>
        </is>
      </c>
      <c r="K40" t="inlineStr">
        <is>
          <t>OK</t>
        </is>
      </c>
    </row>
    <row r="41" ht="14.25" customHeight="1">
      <c r="A41" s="37" t="inlineStr">
        <is>
          <t>Cumulus Neuroscience</t>
        </is>
      </c>
      <c r="B41" s="39" t="n"/>
      <c r="C41" s="44" t="inlineStr">
        <is>
          <t>mailto:info@cumulusneuro.com</t>
        </is>
      </c>
      <c r="D41" s="39" t="inlineStr">
        <is>
          <t>Nov 2026 - Feb 2027</t>
        </is>
      </c>
      <c r="E41" s="44" t="inlineStr">
        <is>
          <t>https://www.linkedin.com/search/results/people/?keywords=Dr.%20Brian%20Murphy</t>
        </is>
      </c>
      <c r="F41" s="39" t="inlineStr">
        <is>
          <t>CSO</t>
        </is>
      </c>
      <c r="G41" t="inlineStr">
        <is>
          <t>VERIFIED_V2</t>
        </is>
      </c>
      <c r="H41" t="inlineStr">
        <is>
          <t>UCL_PALS_MATCH</t>
        </is>
      </c>
      <c r="I41" t="inlineStr">
        <is>
          <t>OK</t>
        </is>
      </c>
      <c r="J41" t="inlineStr">
        <is>
          <t>2027_READY</t>
        </is>
      </c>
      <c r="K41" t="inlineStr">
        <is>
          <t>OK</t>
        </is>
      </c>
    </row>
    <row r="42" ht="28.5" customHeight="1">
      <c r="A42" s="35" t="n"/>
      <c r="B42" s="39" t="n"/>
      <c r="C42" s="35" t="n"/>
      <c r="D42" s="39" t="n"/>
      <c r="E42" s="44" t="inlineStr">
        <is>
          <t>https://www.linkedin.com/search/results/people/?keywords=Hugh%20Nolan</t>
        </is>
      </c>
      <c r="F42" s="39" t="inlineStr">
        <is>
          <t>Principal Data Scientist</t>
        </is>
      </c>
      <c r="G42" t="inlineStr">
        <is>
          <t>VERIFIED_V2</t>
        </is>
      </c>
      <c r="H42" t="inlineStr">
        <is>
          <t>UCL_PALS_MATCH</t>
        </is>
      </c>
      <c r="I42" t="inlineStr">
        <is>
          <t>OK</t>
        </is>
      </c>
      <c r="J42" t="inlineStr">
        <is>
          <t>2027_READY</t>
        </is>
      </c>
      <c r="K42" t="inlineStr">
        <is>
          <t>OK</t>
        </is>
      </c>
    </row>
    <row r="43" ht="42.75" customHeight="1">
      <c r="A43" s="36" t="n"/>
      <c r="B43" s="39" t="n"/>
      <c r="C43" s="36" t="n"/>
      <c r="D43" s="39" t="n"/>
      <c r="E43" s="44" t="inlineStr">
        <is>
          <t>https://www.linkedin.com/search/results/people/?keywords=Dr.%20George%20Stothart</t>
        </is>
      </c>
      <c r="F43" s="39" t="inlineStr">
        <is>
          <t>Principal Scientist</t>
        </is>
      </c>
      <c r="G43" t="inlineStr">
        <is>
          <t>VERIFIED_V2</t>
        </is>
      </c>
      <c r="H43" t="inlineStr">
        <is>
          <t>UCL_PALS_MATCH</t>
        </is>
      </c>
      <c r="I43" t="inlineStr">
        <is>
          <t>OK</t>
        </is>
      </c>
      <c r="J43" t="inlineStr">
        <is>
          <t>2027_READY</t>
        </is>
      </c>
      <c r="K43" t="inlineStr">
        <is>
          <t>OK</t>
        </is>
      </c>
    </row>
    <row r="44" ht="14.25" customHeight="1">
      <c r="A44" s="31" t="inlineStr">
        <is>
          <t>Emteq Labs</t>
        </is>
      </c>
      <c r="B44" s="33" t="n"/>
      <c r="C44" s="43" t="inlineStr">
        <is>
          <t>http://emteqlabs.com/</t>
        </is>
      </c>
      <c r="D44" s="33" t="inlineStr">
        <is>
          <t>Jan-Mar 2027</t>
        </is>
      </c>
      <c r="E44" s="43" t="inlineStr">
        <is>
          <t>https://www.linkedin.com/search/results/people/?keywords=Dr.%20Charles%20Nduka</t>
        </is>
      </c>
      <c r="F44" s="33" t="inlineStr">
        <is>
          <t>Founder &amp; CSO</t>
        </is>
      </c>
      <c r="G44" t="inlineStr">
        <is>
          <t>VERIFIED_V2</t>
        </is>
      </c>
      <c r="H44" t="inlineStr">
        <is>
          <t>UCL_PALS_MATCH</t>
        </is>
      </c>
      <c r="I44" t="inlineStr">
        <is>
          <t>OK</t>
        </is>
      </c>
      <c r="J44" t="inlineStr">
        <is>
          <t>2027_READY</t>
        </is>
      </c>
      <c r="K44" t="inlineStr">
        <is>
          <t>OK</t>
        </is>
      </c>
    </row>
    <row r="45" ht="42.75" customHeight="1">
      <c r="A45" s="35" t="n"/>
      <c r="B45" s="33" t="n"/>
      <c r="C45" s="35" t="n"/>
      <c r="D45" s="33" t="n"/>
      <c r="E45" s="43" t="inlineStr">
        <is>
          <t>https://www.linkedin.com/search/results/people/?keywords=Dr.%20Hristijan%20Gjoreski</t>
        </is>
      </c>
      <c r="F45" s="33" t="inlineStr">
        <is>
          <t>CTO</t>
        </is>
      </c>
      <c r="G45" t="inlineStr">
        <is>
          <t>VERIFIED_V2</t>
        </is>
      </c>
      <c r="H45" t="inlineStr">
        <is>
          <t>UCL_PALS_MATCH</t>
        </is>
      </c>
      <c r="I45" t="inlineStr">
        <is>
          <t>OK</t>
        </is>
      </c>
      <c r="J45" t="inlineStr">
        <is>
          <t>2027_READY</t>
        </is>
      </c>
      <c r="K45" t="inlineStr">
        <is>
          <t>OK</t>
        </is>
      </c>
    </row>
    <row r="46" ht="28.5" customHeight="1">
      <c r="A46" s="36" t="n"/>
      <c r="B46" s="33" t="n"/>
      <c r="C46" s="36" t="n"/>
      <c r="D46" s="33" t="n"/>
      <c r="E46" s="43" t="inlineStr">
        <is>
          <t>https://www.linkedin.com/search/results/people/?keywords=Dr.%20Ifi%20Mavridou</t>
        </is>
      </c>
      <c r="F46" s="33" t="inlineStr">
        <is>
          <t>Research Scientist</t>
        </is>
      </c>
      <c r="G46" t="inlineStr">
        <is>
          <t>VERIFIED_V2</t>
        </is>
      </c>
      <c r="H46" t="inlineStr">
        <is>
          <t>UCL_PALS_MATCH</t>
        </is>
      </c>
      <c r="I46" t="inlineStr">
        <is>
          <t>OK</t>
        </is>
      </c>
      <c r="J46" t="inlineStr">
        <is>
          <t>2027_READY</t>
        </is>
      </c>
      <c r="K46" t="inlineStr">
        <is>
          <t>OK</t>
        </is>
      </c>
    </row>
    <row r="47" ht="14.25" customHeight="1">
      <c r="A47" s="37" t="inlineStr">
        <is>
          <t>MyndPlay</t>
        </is>
      </c>
      <c r="B47" s="39" t="n"/>
      <c r="C47" s="44" t="inlineStr">
        <is>
          <t>mailto:info@myndplay.com</t>
        </is>
      </c>
      <c r="D47" s="39" t="inlineStr">
        <is>
          <t>Nov 2026 - Mar 2027</t>
        </is>
      </c>
      <c r="E47" s="44" t="inlineStr">
        <is>
          <t>https://www.linkedin.com/search/results/people/?keywords=Tre%20Azam</t>
        </is>
      </c>
      <c r="F47" s="39" t="inlineStr">
        <is>
          <t>Founder &amp; CEO</t>
        </is>
      </c>
      <c r="G47" t="inlineStr">
        <is>
          <t>VERIFIED_V2</t>
        </is>
      </c>
      <c r="H47" t="inlineStr">
        <is>
          <t>UCL_PALS_MATCH</t>
        </is>
      </c>
      <c r="I47" t="inlineStr">
        <is>
          <t>OK</t>
        </is>
      </c>
      <c r="J47" t="inlineStr">
        <is>
          <t>2027_READY</t>
        </is>
      </c>
      <c r="K47" t="inlineStr">
        <is>
          <t>OK</t>
        </is>
      </c>
    </row>
    <row r="48" ht="28.5" customHeight="1">
      <c r="A48" s="35" t="n"/>
      <c r="B48" s="39" t="n"/>
      <c r="C48" s="35" t="n"/>
      <c r="D48" s="39" t="n"/>
      <c r="E48" s="44" t="inlineStr">
        <is>
          <t>https://www.linkedin.com/search/results/people/?keywords=Dr.%20Peter%20Collett</t>
        </is>
      </c>
      <c r="F48" s="39" t="inlineStr">
        <is>
          <t>Behavioral Psychologist</t>
        </is>
      </c>
      <c r="G48" t="inlineStr">
        <is>
          <t>VERIFIED_V2</t>
        </is>
      </c>
      <c r="H48" t="inlineStr">
        <is>
          <t>UCL_PALS_MATCH</t>
        </is>
      </c>
      <c r="I48" t="inlineStr">
        <is>
          <t>OK</t>
        </is>
      </c>
      <c r="J48" t="inlineStr">
        <is>
          <t>2027_READY</t>
        </is>
      </c>
      <c r="K48" t="inlineStr">
        <is>
          <t>OK</t>
        </is>
      </c>
    </row>
    <row r="49" ht="28.5" customHeight="1">
      <c r="A49" s="36" t="n"/>
      <c r="B49" s="39" t="n"/>
      <c r="C49" s="36" t="n"/>
      <c r="D49" s="39" t="n"/>
      <c r="E49" s="44" t="inlineStr">
        <is>
          <t>https://www.linkedin.com/search/results/people/?keywords=Dr.%20Polina%20Zioga</t>
        </is>
      </c>
      <c r="F49" s="39" t="inlineStr">
        <is>
          <t>BCI Researcher</t>
        </is>
      </c>
      <c r="G49" t="inlineStr">
        <is>
          <t>VERIFIED_V2</t>
        </is>
      </c>
      <c r="H49" t="inlineStr">
        <is>
          <t>UCL_PALS_MATCH</t>
        </is>
      </c>
      <c r="I49" t="inlineStr">
        <is>
          <t>OK</t>
        </is>
      </c>
      <c r="J49" t="inlineStr">
        <is>
          <t>2027_READY</t>
        </is>
      </c>
      <c r="K49" t="inlineStr">
        <is>
          <t>OK</t>
        </is>
      </c>
    </row>
    <row r="50" ht="14.25" customHeight="1">
      <c r="A50" s="31" t="inlineStr">
        <is>
          <t>Neurable</t>
        </is>
      </c>
      <c r="B50" s="33" t="n"/>
      <c r="C50" s="43" t="inlineStr">
        <is>
          <t>https://neurable.com/careers</t>
        </is>
      </c>
      <c r="D50" s="33" t="inlineStr">
        <is>
          <t>Fall 2026</t>
        </is>
      </c>
      <c r="E50" s="43" t="inlineStr">
        <is>
          <t>https://www.linkedin.com/search/results/people/?keywords=David%20Stanley</t>
        </is>
      </c>
      <c r="F50" s="33" t="inlineStr">
        <is>
          <t>Lead ML Engineer</t>
        </is>
      </c>
      <c r="G50" t="inlineStr">
        <is>
          <t>VERIFIED_V2</t>
        </is>
      </c>
      <c r="H50" t="inlineStr">
        <is>
          <t>UCL_PALS_MATCH</t>
        </is>
      </c>
      <c r="I50" t="inlineStr">
        <is>
          <t>OK</t>
        </is>
      </c>
      <c r="J50" t="inlineStr">
        <is>
          <t>2027_READY</t>
        </is>
      </c>
      <c r="K50" t="inlineStr">
        <is>
          <t>OK</t>
        </is>
      </c>
    </row>
    <row r="51" ht="42.75" customHeight="1">
      <c r="A51" s="35" t="n"/>
      <c r="B51" s="33" t="n"/>
      <c r="C51" s="35" t="n"/>
      <c r="D51" s="33" t="n"/>
      <c r="E51" s="43" t="inlineStr">
        <is>
          <t>https://www.linkedin.com/search/results/people/?keywords=Alicia%20Howell%20Munson</t>
        </is>
      </c>
      <c r="F51" s="33" t="inlineStr">
        <is>
          <t>Research Scientist</t>
        </is>
      </c>
      <c r="G51" t="inlineStr">
        <is>
          <t>VERIFIED_V2</t>
        </is>
      </c>
      <c r="H51" t="inlineStr">
        <is>
          <t>UCL_PALS_MATCH</t>
        </is>
      </c>
      <c r="I51" t="inlineStr">
        <is>
          <t>OK</t>
        </is>
      </c>
      <c r="J51" t="inlineStr">
        <is>
          <t>2027_READY</t>
        </is>
      </c>
      <c r="K51" t="inlineStr">
        <is>
          <t>OK</t>
        </is>
      </c>
    </row>
    <row r="52" ht="42.75" customHeight="1">
      <c r="A52" s="36" t="n"/>
      <c r="B52" s="33" t="n"/>
      <c r="C52" s="36" t="n"/>
      <c r="D52" s="33" t="n"/>
      <c r="E52" s="43" t="inlineStr">
        <is>
          <t>https://www.linkedin.com/search/results/people/?keywords=Dr.%20Ramses%20Alcaide</t>
        </is>
      </c>
      <c r="F52" s="33" t="inlineStr">
        <is>
          <t>Co-Founder &amp; CEO</t>
        </is>
      </c>
      <c r="G52" t="inlineStr">
        <is>
          <t>VERIFIED_V2</t>
        </is>
      </c>
      <c r="H52" t="inlineStr">
        <is>
          <t>UCL_PALS_MATCH</t>
        </is>
      </c>
      <c r="I52" t="inlineStr">
        <is>
          <t>OK</t>
        </is>
      </c>
      <c r="J52" t="inlineStr">
        <is>
          <t>2027_READY</t>
        </is>
      </c>
      <c r="K52" t="inlineStr">
        <is>
          <t>OK</t>
        </is>
      </c>
    </row>
    <row r="53" ht="28.5" customHeight="1">
      <c r="A53" s="37" t="inlineStr">
        <is>
          <t>OpenBCI</t>
        </is>
      </c>
      <c r="B53" s="39" t="n"/>
      <c r="C53" s="44" t="inlineStr">
        <is>
          <t>https://openbci.com/about</t>
        </is>
      </c>
      <c r="D53" s="39" t="inlineStr">
        <is>
          <t>Jan-Mar 2027</t>
        </is>
      </c>
      <c r="E53" s="44" t="inlineStr">
        <is>
          <t>https://www.linkedin.com/search/results/people/?keywords=Conor%20Russomanno</t>
        </is>
      </c>
      <c r="F53" s="39" t="inlineStr">
        <is>
          <t>CEO &amp; Co-Founder</t>
        </is>
      </c>
      <c r="G53" t="inlineStr">
        <is>
          <t>VERIFIED_V2</t>
        </is>
      </c>
      <c r="H53" t="inlineStr">
        <is>
          <t>UCL_PALS_MATCH</t>
        </is>
      </c>
      <c r="I53" t="inlineStr">
        <is>
          <t>OK</t>
        </is>
      </c>
      <c r="J53" t="inlineStr">
        <is>
          <t>2027_READY</t>
        </is>
      </c>
      <c r="K53" t="inlineStr">
        <is>
          <t>OK</t>
        </is>
      </c>
    </row>
    <row r="54" ht="28.5" customHeight="1">
      <c r="A54" s="35" t="n"/>
      <c r="B54" s="39" t="n"/>
      <c r="C54" s="35" t="n"/>
      <c r="D54" s="39" t="n"/>
      <c r="E54" s="44" t="inlineStr">
        <is>
          <t>https://www.linkedin.com/search/results/people/?keywords=Zoe%20Steine-Hanson</t>
        </is>
      </c>
      <c r="F54" s="39" t="inlineStr">
        <is>
          <t>Research Scientist</t>
        </is>
      </c>
      <c r="G54" t="inlineStr">
        <is>
          <t>VERIFIED_V2</t>
        </is>
      </c>
      <c r="H54" t="inlineStr">
        <is>
          <t>UCL_PALS_MATCH</t>
        </is>
      </c>
      <c r="I54" t="inlineStr">
        <is>
          <t>OK</t>
        </is>
      </c>
      <c r="J54" t="inlineStr">
        <is>
          <t>2027_READY</t>
        </is>
      </c>
      <c r="K54" t="inlineStr">
        <is>
          <t>OK</t>
        </is>
      </c>
    </row>
    <row r="55" ht="28.5" customHeight="1">
      <c r="A55" s="36" t="n"/>
      <c r="B55" s="39" t="n"/>
      <c r="C55" s="36" t="n"/>
      <c r="D55" s="39" t="n"/>
      <c r="E55" s="44" t="inlineStr">
        <is>
          <t>https://www.linkedin.com/search/results/people/?keywords=Musa%20Mahmood</t>
        </is>
      </c>
      <c r="F55" s="39" t="inlineStr">
        <is>
          <t>Research Scientist</t>
        </is>
      </c>
      <c r="G55" t="inlineStr">
        <is>
          <t>VERIFIED_V2</t>
        </is>
      </c>
      <c r="H55" t="inlineStr">
        <is>
          <t>UCL_PALS_MATCH</t>
        </is>
      </c>
      <c r="I55" t="inlineStr">
        <is>
          <t>OK</t>
        </is>
      </c>
      <c r="J55" t="inlineStr">
        <is>
          <t>2027_READY</t>
        </is>
      </c>
      <c r="K55" t="inlineStr">
        <is>
          <t>OK</t>
        </is>
      </c>
    </row>
    <row r="56" ht="14.25" customHeight="1">
      <c r="A56" s="31" t="inlineStr">
        <is>
          <t>Synchron</t>
        </is>
      </c>
      <c r="B56" s="33" t="n"/>
      <c r="C56" s="33" t="n"/>
      <c r="D56" s="33" t="n"/>
      <c r="E56" s="33" t="n"/>
      <c r="F56" s="33" t="n"/>
    </row>
    <row r="57">
      <c r="A57" s="35" t="n"/>
      <c r="B57" s="33" t="n"/>
      <c r="C57" s="35" t="n"/>
      <c r="D57" s="33" t="n"/>
      <c r="E57" s="33" t="n"/>
      <c r="F57" s="33" t="n"/>
    </row>
    <row r="58">
      <c r="A58" s="36" t="n"/>
      <c r="B58" s="33" t="n"/>
      <c r="C58" s="36" t="n"/>
      <c r="D58" s="33" t="n"/>
      <c r="E58" s="33" t="n"/>
      <c r="F58" s="33" t="n"/>
    </row>
    <row r="59" ht="14.25" customHeight="1">
      <c r="A59" s="37" t="inlineStr">
        <is>
          <t>Gaudio Lab</t>
        </is>
      </c>
      <c r="B59" s="39" t="n"/>
      <c r="C59" s="39" t="n"/>
      <c r="D59" s="39" t="n"/>
      <c r="E59" s="39" t="n"/>
      <c r="F59" s="39" t="n"/>
    </row>
    <row r="60">
      <c r="A60" s="35" t="n"/>
      <c r="B60" s="39" t="n"/>
      <c r="C60" s="35" t="n"/>
      <c r="D60" s="39" t="n"/>
      <c r="E60" s="39" t="n"/>
      <c r="F60" s="39" t="n"/>
    </row>
    <row r="61">
      <c r="A61" s="36" t="n"/>
      <c r="B61" s="32" t="n"/>
      <c r="C61" s="36" t="n"/>
      <c r="D61" s="33" t="n"/>
      <c r="E61" s="34" t="n"/>
      <c r="F61" s="33" t="n"/>
    </row>
    <row r="62">
      <c r="A62" s="31" t="inlineStr">
        <is>
          <t>Looxid Labs</t>
        </is>
      </c>
      <c r="B62" s="33" t="n"/>
      <c r="C62" s="33" t="n"/>
      <c r="D62" s="33" t="n"/>
      <c r="E62" s="33" t="n"/>
      <c r="F62" s="33" t="n"/>
    </row>
    <row r="63">
      <c r="A63" s="35" t="n"/>
      <c r="B63" s="33" t="n"/>
      <c r="C63" s="35" t="n"/>
      <c r="D63" s="33" t="n"/>
      <c r="E63" s="33" t="n"/>
      <c r="F63" s="33" t="n"/>
    </row>
    <row r="64">
      <c r="A64" s="36" t="n"/>
      <c r="B64" s="33" t="n"/>
      <c r="C64" s="36" t="n"/>
      <c r="D64" s="33" t="n"/>
      <c r="E64" s="33" t="n"/>
      <c r="F64" s="33" t="n"/>
    </row>
    <row r="65">
      <c r="A65" s="37" t="inlineStr">
        <is>
          <t>OBELAB</t>
        </is>
      </c>
      <c r="B65" s="39" t="n"/>
      <c r="C65" s="39" t="n"/>
      <c r="D65" s="39" t="n"/>
      <c r="E65" s="39" t="n"/>
      <c r="F65" s="39" t="n"/>
    </row>
    <row r="66">
      <c r="A66" s="35" t="n"/>
      <c r="B66" s="39" t="n"/>
      <c r="C66" s="35" t="n"/>
      <c r="D66" s="39" t="n"/>
      <c r="E66" s="39" t="n"/>
      <c r="F66" s="39" t="n"/>
    </row>
    <row r="67">
      <c r="A67" s="36" t="n"/>
      <c r="B67" s="39" t="n"/>
      <c r="C67" s="36" t="n"/>
      <c r="D67" s="39" t="n"/>
      <c r="E67" s="39" t="n"/>
      <c r="F67" s="39" t="n"/>
    </row>
    <row r="68">
      <c r="A68" s="31" t="inlineStr">
        <is>
          <t>Vtouch</t>
        </is>
      </c>
      <c r="B68" s="33" t="n"/>
      <c r="C68" s="33" t="n"/>
      <c r="D68" s="33" t="n"/>
      <c r="E68" s="33" t="n"/>
      <c r="F68" s="33" t="n"/>
    </row>
    <row r="69">
      <c r="A69" s="35" t="n"/>
      <c r="B69" s="33" t="n"/>
      <c r="C69" s="35" t="n"/>
      <c r="D69" s="33" t="n"/>
      <c r="E69" s="33" t="n"/>
      <c r="F69" s="33" t="n"/>
    </row>
    <row r="70">
      <c r="A70" s="36" t="n"/>
      <c r="B70" s="33" t="n"/>
      <c r="C70" s="36" t="n"/>
      <c r="D70" s="33" t="n"/>
      <c r="E70" s="33" t="n"/>
      <c r="F70" s="33" t="n"/>
    </row>
    <row r="71">
      <c r="A71" s="37" t="inlineStr">
        <is>
          <t>Ybrain</t>
        </is>
      </c>
      <c r="B71" s="39" t="n"/>
      <c r="C71" s="39" t="n"/>
      <c r="D71" s="39" t="n"/>
      <c r="E71" s="39" t="n"/>
      <c r="F71" s="39" t="n"/>
    </row>
    <row r="72">
      <c r="A72" s="35" t="n"/>
      <c r="B72" s="39" t="n"/>
      <c r="C72" s="35" t="n"/>
      <c r="D72" s="39" t="n"/>
      <c r="E72" s="39" t="n"/>
      <c r="F72" s="39" t="n"/>
    </row>
    <row r="73">
      <c r="A73" s="36" t="n"/>
      <c r="B73" s="39" t="n"/>
      <c r="C73" s="36" t="n"/>
      <c r="D73" s="39" t="n"/>
      <c r="E73" s="39" t="n"/>
      <c r="F73" s="39" t="n"/>
    </row>
    <row r="74">
      <c r="A74" s="31" t="inlineStr">
        <is>
          <t>iMediSync</t>
        </is>
      </c>
      <c r="B74" s="33" t="n"/>
      <c r="C74" s="33" t="n"/>
      <c r="D74" s="33" t="n"/>
      <c r="E74" s="33" t="n"/>
      <c r="F74" s="33" t="n"/>
    </row>
    <row r="75">
      <c r="A75" s="35" t="n"/>
      <c r="B75" s="33" t="n"/>
      <c r="C75" s="35" t="n"/>
      <c r="D75" s="33" t="n"/>
      <c r="E75" s="33" t="n"/>
      <c r="F75" s="33" t="n"/>
    </row>
    <row r="76">
      <c r="A76" s="36" t="n"/>
      <c r="B76" s="33" t="n"/>
      <c r="C76" s="36" t="n"/>
      <c r="D76" s="33" t="n"/>
      <c r="E76" s="33" t="n"/>
      <c r="F76" s="33" t="n"/>
    </row>
    <row r="77">
      <c r="A77" s="37" t="inlineStr">
        <is>
          <t>Hyundai Motor (Robotics / HMI Lab)</t>
        </is>
      </c>
      <c r="B77" s="39" t="n"/>
      <c r="C77" s="39" t="n"/>
      <c r="D77" s="39" t="n"/>
      <c r="E77" s="39" t="n"/>
      <c r="F77" s="39" t="n"/>
    </row>
    <row r="78">
      <c r="A78" s="35" t="n"/>
      <c r="B78" s="39" t="n"/>
      <c r="C78" s="35" t="n"/>
      <c r="D78" s="39" t="n"/>
      <c r="E78" s="39" t="n"/>
      <c r="F78" s="39" t="n"/>
    </row>
    <row r="79">
      <c r="A79" s="36" t="n"/>
      <c r="B79" s="39" t="n"/>
      <c r="C79" s="36" t="n"/>
      <c r="D79" s="39" t="n"/>
      <c r="E79" s="39" t="n"/>
      <c r="F79" s="39" t="n"/>
    </row>
    <row r="80">
      <c r="A80" s="31" t="inlineStr">
        <is>
          <t>NAVER Labs</t>
        </is>
      </c>
      <c r="B80" s="33" t="n"/>
      <c r="C80" s="33" t="n"/>
      <c r="D80" s="33" t="n"/>
      <c r="E80" s="33" t="n"/>
      <c r="F80" s="33" t="n"/>
    </row>
    <row r="81">
      <c r="A81" s="35" t="n"/>
      <c r="B81" s="33" t="n"/>
      <c r="C81" s="35" t="n"/>
      <c r="D81" s="33" t="n"/>
      <c r="E81" s="33" t="n"/>
      <c r="F81" s="33" t="n"/>
    </row>
    <row r="82">
      <c r="A82" s="36" t="n"/>
      <c r="B82" s="33" t="n"/>
      <c r="C82" s="36" t="n"/>
      <c r="D82" s="33" t="n"/>
      <c r="E82" s="33" t="n"/>
      <c r="F82" s="33" t="n"/>
    </row>
    <row r="83">
      <c r="A83" s="37" t="inlineStr">
        <is>
          <t>Samsung Electronics (MX / Research)</t>
        </is>
      </c>
      <c r="B83" s="39" t="n"/>
      <c r="C83" s="39" t="n"/>
      <c r="D83" s="39" t="n"/>
      <c r="E83" s="39" t="n"/>
      <c r="F83" s="39" t="n"/>
    </row>
    <row r="84">
      <c r="A84" s="35" t="n"/>
      <c r="B84" s="39" t="n"/>
      <c r="C84" s="35" t="n"/>
      <c r="D84" s="39" t="n"/>
      <c r="E84" s="39" t="n"/>
      <c r="F84" s="39" t="n"/>
    </row>
    <row r="85">
      <c r="A85" s="36" t="n"/>
      <c r="B85" s="39" t="n"/>
      <c r="C85" s="36" t="n"/>
      <c r="D85" s="39" t="n"/>
      <c r="E85" s="39" t="n"/>
      <c r="F85" s="39" t="n"/>
    </row>
  </sheetData>
  <mergeCells count="56">
    <mergeCell ref="C56:C58"/>
    <mergeCell ref="A8:A10"/>
    <mergeCell ref="A26:A28"/>
    <mergeCell ref="A2:A4"/>
    <mergeCell ref="A17:A19"/>
    <mergeCell ref="C2:C4"/>
    <mergeCell ref="C17:C19"/>
    <mergeCell ref="A20:A22"/>
    <mergeCell ref="C11:C13"/>
    <mergeCell ref="A29:A31"/>
    <mergeCell ref="A47:A49"/>
    <mergeCell ref="A5:A7"/>
    <mergeCell ref="A23:A25"/>
    <mergeCell ref="A32:A34"/>
    <mergeCell ref="A38:A40"/>
    <mergeCell ref="C23:C25"/>
    <mergeCell ref="C32:C34"/>
    <mergeCell ref="A14:A16"/>
    <mergeCell ref="C77:C79"/>
    <mergeCell ref="C38:C40"/>
    <mergeCell ref="A68:A70"/>
    <mergeCell ref="A62:A64"/>
    <mergeCell ref="A44:A46"/>
    <mergeCell ref="A53:A55"/>
    <mergeCell ref="A59:A61"/>
    <mergeCell ref="A35:A37"/>
    <mergeCell ref="C53:C55"/>
    <mergeCell ref="C80:C82"/>
    <mergeCell ref="A77:A79"/>
    <mergeCell ref="C68:C70"/>
    <mergeCell ref="C62:C64"/>
    <mergeCell ref="C74:C76"/>
    <mergeCell ref="A83:A85"/>
    <mergeCell ref="C83:C85"/>
    <mergeCell ref="C20:C22"/>
    <mergeCell ref="C14:C16"/>
    <mergeCell ref="A11:A13"/>
    <mergeCell ref="C29:C31"/>
    <mergeCell ref="C5:C7"/>
    <mergeCell ref="A65:A67"/>
    <mergeCell ref="A41:A43"/>
    <mergeCell ref="C41:C43"/>
    <mergeCell ref="A50:A52"/>
    <mergeCell ref="C35:C37"/>
    <mergeCell ref="C50:C52"/>
    <mergeCell ref="C26:C28"/>
    <mergeCell ref="C44:C46"/>
    <mergeCell ref="C59:C61"/>
    <mergeCell ref="A74:A76"/>
    <mergeCell ref="C65:C67"/>
    <mergeCell ref="C47:C49"/>
    <mergeCell ref="A80:A82"/>
    <mergeCell ref="A71:A73"/>
    <mergeCell ref="C8:C10"/>
    <mergeCell ref="C71:C73"/>
    <mergeCell ref="A56:A58"/>
  </mergeCells>
  <hyperlinks>
    <hyperlink xmlns:r="http://schemas.openxmlformats.org/officeDocument/2006/relationships" ref="B2" r:id="rId1"/>
    <hyperlink xmlns:r="http://schemas.openxmlformats.org/officeDocument/2006/relationships" ref="D2" r:id="rId2"/>
    <hyperlink xmlns:r="http://schemas.openxmlformats.org/officeDocument/2006/relationships" ref="D3" r:id="rId3"/>
    <hyperlink xmlns:r="http://schemas.openxmlformats.org/officeDocument/2006/relationships" ref="D4" r:id="rId4"/>
    <hyperlink xmlns:r="http://schemas.openxmlformats.org/officeDocument/2006/relationships" ref="B5" r:id="rId5"/>
    <hyperlink xmlns:r="http://schemas.openxmlformats.org/officeDocument/2006/relationships" ref="D5" r:id="rId6"/>
    <hyperlink xmlns:r="http://schemas.openxmlformats.org/officeDocument/2006/relationships" ref="E5" display="viren@google.com" r:id="rId7"/>
    <hyperlink xmlns:r="http://schemas.openxmlformats.org/officeDocument/2006/relationships" ref="D6" r:id="rId8"/>
    <hyperlink xmlns:r="http://schemas.openxmlformats.org/officeDocument/2006/relationships" ref="D7" r:id="rId9"/>
    <hyperlink xmlns:r="http://schemas.openxmlformats.org/officeDocument/2006/relationships" ref="B8" r:id="rId10"/>
    <hyperlink xmlns:r="http://schemas.openxmlformats.org/officeDocument/2006/relationships" ref="D8" r:id="rId11"/>
    <hyperlink xmlns:r="http://schemas.openxmlformats.org/officeDocument/2006/relationships" ref="E8" r:id="rId12"/>
    <hyperlink xmlns:r="http://schemas.openxmlformats.org/officeDocument/2006/relationships" ref="D9" r:id="rId13"/>
    <hyperlink xmlns:r="http://schemas.openxmlformats.org/officeDocument/2006/relationships" ref="E9" display="stachenfeld@google.com" r:id="rId14"/>
    <hyperlink xmlns:r="http://schemas.openxmlformats.org/officeDocument/2006/relationships" ref="D10" r:id="rId15"/>
    <hyperlink xmlns:r="http://schemas.openxmlformats.org/officeDocument/2006/relationships" ref="E10" display="abanino@google.com" r:id="rId16"/>
    <hyperlink xmlns:r="http://schemas.openxmlformats.org/officeDocument/2006/relationships" ref="B11" r:id="rId17"/>
    <hyperlink xmlns:r="http://schemas.openxmlformats.org/officeDocument/2006/relationships" ref="D11" r:id="rId18"/>
    <hyperlink xmlns:r="http://schemas.openxmlformats.org/officeDocument/2006/relationships" ref="E11" display="d.farina@imperial.ac.uk" r:id="rId19"/>
    <hyperlink xmlns:r="http://schemas.openxmlformats.org/officeDocument/2006/relationships" ref="D12" r:id="rId20"/>
    <hyperlink xmlns:r="http://schemas.openxmlformats.org/officeDocument/2006/relationships" ref="D13" r:id="rId21"/>
    <hyperlink xmlns:r="http://schemas.openxmlformats.org/officeDocument/2006/relationships" ref="B14" r:id="rId22"/>
    <hyperlink xmlns:r="http://schemas.openxmlformats.org/officeDocument/2006/relationships" ref="D14" r:id="rId23"/>
    <hyperlink xmlns:r="http://schemas.openxmlformats.org/officeDocument/2006/relationships" ref="E14" r:id="rId24"/>
    <hyperlink xmlns:r="http://schemas.openxmlformats.org/officeDocument/2006/relationships" ref="D15" r:id="rId25"/>
    <hyperlink xmlns:r="http://schemas.openxmlformats.org/officeDocument/2006/relationships" ref="E15" display="dimitra.emmanouilidou@microsoft.com" r:id="rId26"/>
    <hyperlink xmlns:r="http://schemas.openxmlformats.org/officeDocument/2006/relationships" ref="D16" r:id="rId27"/>
    <hyperlink xmlns:r="http://schemas.openxmlformats.org/officeDocument/2006/relationships" ref="E16" display="awilson@microsoft.com" r:id="rId28"/>
    <hyperlink xmlns:r="http://schemas.openxmlformats.org/officeDocument/2006/relationships" ref="B17" r:id="rId29"/>
    <hyperlink xmlns:r="http://schemas.openxmlformats.org/officeDocument/2006/relationships" ref="D17" r:id="rId30"/>
    <hyperlink xmlns:r="http://schemas.openxmlformats.org/officeDocument/2006/relationships" ref="E17" display="s.venieris@samsung.com" r:id="rId31"/>
    <hyperlink xmlns:r="http://schemas.openxmlformats.org/officeDocument/2006/relationships" ref="D18" r:id="rId32"/>
    <hyperlink xmlns:r="http://schemas.openxmlformats.org/officeDocument/2006/relationships" ref="E18" display="young.kwon@samsung.com" r:id="rId33"/>
    <hyperlink xmlns:r="http://schemas.openxmlformats.org/officeDocument/2006/relationships" ref="D19" r:id="rId34"/>
    <hyperlink xmlns:r="http://schemas.openxmlformats.org/officeDocument/2006/relationships" ref="E19" display="g.tzimiropoulos@qmul.ac.uk" r:id="rId35"/>
    <hyperlink xmlns:r="http://schemas.openxmlformats.org/officeDocument/2006/relationships" ref="B20" r:id="rId36"/>
    <hyperlink xmlns:r="http://schemas.openxmlformats.org/officeDocument/2006/relationships" ref="D20" r:id="rId37"/>
    <hyperlink xmlns:r="http://schemas.openxmlformats.org/officeDocument/2006/relationships" ref="D21" r:id="rId38"/>
    <hyperlink xmlns:r="http://schemas.openxmlformats.org/officeDocument/2006/relationships" ref="D22" r:id="rId39"/>
    <hyperlink xmlns:r="http://schemas.openxmlformats.org/officeDocument/2006/relationships" ref="B23" r:id="rId40"/>
    <hyperlink xmlns:r="http://schemas.openxmlformats.org/officeDocument/2006/relationships" ref="D23" r:id="rId41"/>
    <hyperlink xmlns:r="http://schemas.openxmlformats.org/officeDocument/2006/relationships" ref="D24" r:id="rId42"/>
    <hyperlink xmlns:r="http://schemas.openxmlformats.org/officeDocument/2006/relationships" ref="D25" r:id="rId43"/>
    <hyperlink xmlns:r="http://schemas.openxmlformats.org/officeDocument/2006/relationships" ref="C26" r:id="rId44"/>
    <hyperlink xmlns:r="http://schemas.openxmlformats.org/officeDocument/2006/relationships" ref="E26" r:id="rId45"/>
    <hyperlink xmlns:r="http://schemas.openxmlformats.org/officeDocument/2006/relationships" ref="E27" r:id="rId46"/>
    <hyperlink xmlns:r="http://schemas.openxmlformats.org/officeDocument/2006/relationships" ref="E28" r:id="rId47"/>
    <hyperlink xmlns:r="http://schemas.openxmlformats.org/officeDocument/2006/relationships" ref="C29" r:id="rId48"/>
    <hyperlink xmlns:r="http://schemas.openxmlformats.org/officeDocument/2006/relationships" ref="E29" r:id="rId49"/>
    <hyperlink xmlns:r="http://schemas.openxmlformats.org/officeDocument/2006/relationships" ref="E30" r:id="rId50"/>
    <hyperlink xmlns:r="http://schemas.openxmlformats.org/officeDocument/2006/relationships" ref="E31" r:id="rId51"/>
    <hyperlink xmlns:r="http://schemas.openxmlformats.org/officeDocument/2006/relationships" ref="C32" r:id="rId52"/>
    <hyperlink xmlns:r="http://schemas.openxmlformats.org/officeDocument/2006/relationships" ref="E32" r:id="rId53"/>
    <hyperlink xmlns:r="http://schemas.openxmlformats.org/officeDocument/2006/relationships" ref="E33" r:id="rId54"/>
    <hyperlink xmlns:r="http://schemas.openxmlformats.org/officeDocument/2006/relationships" ref="E34" r:id="rId55"/>
    <hyperlink xmlns:r="http://schemas.openxmlformats.org/officeDocument/2006/relationships" ref="C35" r:id="rId56"/>
    <hyperlink xmlns:r="http://schemas.openxmlformats.org/officeDocument/2006/relationships" ref="E35" r:id="rId57"/>
    <hyperlink xmlns:r="http://schemas.openxmlformats.org/officeDocument/2006/relationships" ref="E36" r:id="rId58"/>
    <hyperlink xmlns:r="http://schemas.openxmlformats.org/officeDocument/2006/relationships" ref="E37" r:id="rId59"/>
    <hyperlink xmlns:r="http://schemas.openxmlformats.org/officeDocument/2006/relationships" ref="C38" r:id="rId60"/>
    <hyperlink xmlns:r="http://schemas.openxmlformats.org/officeDocument/2006/relationships" ref="E38" r:id="rId61"/>
    <hyperlink xmlns:r="http://schemas.openxmlformats.org/officeDocument/2006/relationships" ref="E39" r:id="rId62"/>
    <hyperlink xmlns:r="http://schemas.openxmlformats.org/officeDocument/2006/relationships" ref="E40" r:id="rId63"/>
    <hyperlink xmlns:r="http://schemas.openxmlformats.org/officeDocument/2006/relationships" ref="C41" r:id="rId64"/>
    <hyperlink xmlns:r="http://schemas.openxmlformats.org/officeDocument/2006/relationships" ref="E41" r:id="rId65"/>
    <hyperlink xmlns:r="http://schemas.openxmlformats.org/officeDocument/2006/relationships" ref="E42" r:id="rId66"/>
    <hyperlink xmlns:r="http://schemas.openxmlformats.org/officeDocument/2006/relationships" ref="E43" r:id="rId67"/>
    <hyperlink xmlns:r="http://schemas.openxmlformats.org/officeDocument/2006/relationships" ref="C44" r:id="rId68"/>
    <hyperlink xmlns:r="http://schemas.openxmlformats.org/officeDocument/2006/relationships" ref="E44" r:id="rId69"/>
    <hyperlink xmlns:r="http://schemas.openxmlformats.org/officeDocument/2006/relationships" ref="E45" r:id="rId70"/>
    <hyperlink xmlns:r="http://schemas.openxmlformats.org/officeDocument/2006/relationships" ref="E46" r:id="rId71"/>
    <hyperlink xmlns:r="http://schemas.openxmlformats.org/officeDocument/2006/relationships" ref="C47" r:id="rId72"/>
    <hyperlink xmlns:r="http://schemas.openxmlformats.org/officeDocument/2006/relationships" ref="E47" r:id="rId73"/>
    <hyperlink xmlns:r="http://schemas.openxmlformats.org/officeDocument/2006/relationships" ref="E48" r:id="rId74"/>
    <hyperlink xmlns:r="http://schemas.openxmlformats.org/officeDocument/2006/relationships" ref="E49" r:id="rId75"/>
    <hyperlink xmlns:r="http://schemas.openxmlformats.org/officeDocument/2006/relationships" ref="C50" r:id="rId76"/>
    <hyperlink xmlns:r="http://schemas.openxmlformats.org/officeDocument/2006/relationships" ref="E50" r:id="rId77"/>
    <hyperlink xmlns:r="http://schemas.openxmlformats.org/officeDocument/2006/relationships" ref="E51" r:id="rId78"/>
    <hyperlink xmlns:r="http://schemas.openxmlformats.org/officeDocument/2006/relationships" ref="E52" r:id="rId79"/>
    <hyperlink xmlns:r="http://schemas.openxmlformats.org/officeDocument/2006/relationships" ref="C53" r:id="rId80"/>
    <hyperlink xmlns:r="http://schemas.openxmlformats.org/officeDocument/2006/relationships" ref="E53" r:id="rId81"/>
    <hyperlink xmlns:r="http://schemas.openxmlformats.org/officeDocument/2006/relationships" ref="E54" r:id="rId82"/>
    <hyperlink xmlns:r="http://schemas.openxmlformats.org/officeDocument/2006/relationships" ref="E55" r:id="rId8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35" customWidth="1" min="3" max="3"/>
    <col width="25" customWidth="1" min="5" max="5"/>
  </cols>
  <sheetData>
    <row r="1">
      <c r="A1" s="45" t="inlineStr">
        <is>
          <t>Company Name</t>
        </is>
      </c>
      <c r="B1" s="45" t="inlineStr">
        <is>
          <t>Priority</t>
        </is>
      </c>
      <c r="C1" s="45" t="inlineStr">
        <is>
          <t>Target Position</t>
        </is>
      </c>
      <c r="D1" s="45" t="inlineStr">
        <is>
          <t>Opening Period</t>
        </is>
      </c>
      <c r="E1" s="45" t="inlineStr">
        <is>
          <t>🔍 Deep Dive Link</t>
        </is>
      </c>
    </row>
    <row r="2">
      <c r="A2" t="inlineStr">
        <is>
          <t>Ultraleap</t>
        </is>
      </c>
      <c r="B2" t="inlineStr">
        <is>
          <t>Global Big Tech</t>
        </is>
      </c>
      <c r="C2" t="inlineStr">
        <is>
          <t>HCI / Hand Tracking Intern</t>
        </is>
      </c>
      <c r="D2" t="inlineStr">
        <is>
          <t>Summer '27: Oct ~ Dec 2026 (Fall Posting)</t>
        </is>
      </c>
    </row>
    <row r="3">
      <c r="A3" t="inlineStr">
        <is>
          <t>AllFocal Optics</t>
        </is>
      </c>
      <c r="B3" t="inlineStr">
        <is>
          <t>UK Startup</t>
        </is>
      </c>
      <c r="C3" t="inlineStr">
        <is>
          <t>AR Smart Glasses Intern</t>
        </is>
      </c>
      <c r="D3" t="inlineStr">
        <is>
          <t>Rolling (Optimal Outreach: Jan ~ Feb 2027)</t>
        </is>
      </c>
    </row>
    <row r="4">
      <c r="A4" t="inlineStr">
        <is>
          <t>MintNeuro</t>
        </is>
      </c>
      <c r="B4" t="inlineStr">
        <is>
          <t>UK Startup</t>
        </is>
      </c>
      <c r="C4" t="inlineStr">
        <is>
          <t>Neural Implants / HW Intern</t>
        </is>
      </c>
      <c r="D4" t="inlineStr">
        <is>
          <t>Rolling (Optimal Outreach: Jan ~ Feb 2027)</t>
        </is>
      </c>
    </row>
    <row r="5">
      <c r="A5" t="inlineStr">
        <is>
          <t>AmazeVR</t>
        </is>
      </c>
      <c r="B5" t="inlineStr">
        <is>
          <t>KR Conglomerate</t>
        </is>
      </c>
      <c r="C5" t="inlineStr">
        <is>
          <t>Metaverse Content / Platform Intern</t>
        </is>
      </c>
      <c r="D5" t="inlineStr">
        <is>
          <t>Rolling (Optimal Outreach: Mar ~ Apr 2027)</t>
        </is>
      </c>
    </row>
    <row r="6">
      <c r="A6" t="inlineStr">
        <is>
          <t>KT</t>
        </is>
      </c>
      <c r="B6" t="inlineStr">
        <is>
          <t>KR Conglomerate</t>
        </is>
      </c>
      <c r="C6" t="inlineStr">
        <is>
          <t>XR/Metaverse Service Intern</t>
        </is>
      </c>
      <c r="D6" t="inlineStr">
        <is>
          <t>Summer '27: Apr ~ May 2027 (KT 인턴십 공채)</t>
        </is>
      </c>
    </row>
    <row r="7">
      <c r="A7" t="inlineStr">
        <is>
          <t>LG Display</t>
        </is>
      </c>
      <c r="B7" t="inlineStr">
        <is>
          <t>KR Conglomerate</t>
        </is>
      </c>
      <c r="C7" t="inlineStr">
        <is>
          <t>Smart Glasses HW Intern</t>
        </is>
      </c>
      <c r="D7" t="inlineStr">
        <is>
          <t>Summer '27: Apr ~ May 2027 (산학장학생 / 서머인턴)</t>
        </is>
      </c>
    </row>
    <row r="8">
      <c r="A8" t="inlineStr">
        <is>
          <t>LG Electronics (CTO)</t>
        </is>
      </c>
      <c r="B8" t="inlineStr">
        <is>
          <t>KR Conglomerate</t>
        </is>
      </c>
      <c r="C8" t="inlineStr">
        <is>
          <t>Smart Glasses HMI &amp; Hardware Intern</t>
        </is>
      </c>
      <c r="D8" t="inlineStr">
        <is>
          <t>Summer '27: Apr ~ May 2027 (산학장학생 / 서머인턴)</t>
        </is>
      </c>
    </row>
    <row r="9">
      <c r="A9" t="inlineStr">
        <is>
          <t>LetinAR</t>
        </is>
      </c>
      <c r="B9" t="inlineStr">
        <is>
          <t>KR Conglomerate</t>
        </is>
      </c>
      <c r="C9" t="inlineStr">
        <is>
          <t>AR Glasses Optics Intern</t>
        </is>
      </c>
      <c r="D9" t="inlineStr">
        <is>
          <t>Rolling (Optimal Outreach: Mar ~ Apr 2027)</t>
        </is>
      </c>
    </row>
    <row r="10">
      <c r="A10" t="inlineStr">
        <is>
          <t>NCSoft</t>
        </is>
      </c>
      <c r="B10" t="inlineStr">
        <is>
          <t>KR Conglomerate</t>
        </is>
      </c>
      <c r="C10" t="inlineStr">
        <is>
          <t>Immersive Interaction Intern</t>
        </is>
      </c>
      <c r="D10" t="inlineStr">
        <is>
          <t>Summer '27: May 2027 (NC Summer Intern 공채)</t>
        </is>
      </c>
    </row>
    <row r="11">
      <c r="A11" t="inlineStr">
        <is>
          <t>SKT</t>
        </is>
      </c>
      <c r="B11" t="inlineStr">
        <is>
          <t>KR Conglomerate</t>
        </is>
      </c>
      <c r="C11" t="inlineStr">
        <is>
          <t>Metaverse &amp; AI Platform Intern</t>
        </is>
      </c>
      <c r="D11" t="inlineStr">
        <is>
          <t>Summer '27: Apr ~ May 2027 (SK Junior Talent / 인턴)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26" customWidth="1" min="3" max="3"/>
    <col width="42" customWidth="1" min="4" max="4"/>
    <col width="24" customWidth="1" min="5" max="5"/>
    <col width="22" customWidth="1" min="6" max="6"/>
    <col width="16" customWidth="1" min="7" max="7"/>
    <col width="30" customWidth="1" min="8" max="8"/>
    <col width="18" customWidth="1" min="9" max="9"/>
    <col width="16" customWidth="1" min="10" max="10"/>
    <col width="18" customWidth="1" min="11" max="11"/>
    <col width="65" customWidth="1" min="12" max="12"/>
  </cols>
  <sheetData>
    <row r="1" ht="28" customHeight="1">
      <c r="A1" s="46" t="inlineStr">
        <is>
          <t>No</t>
        </is>
      </c>
      <c r="B1" s="46" t="inlineStr">
        <is>
          <t>Tier</t>
        </is>
      </c>
      <c r="C1" s="46" t="inlineStr">
        <is>
          <t>Company Name</t>
        </is>
      </c>
      <c r="D1" s="46" t="inlineStr">
        <is>
          <t>Position Title</t>
        </is>
      </c>
      <c r="E1" s="46" t="inlineStr">
        <is>
          <t>Source Type</t>
        </is>
      </c>
      <c r="F1" s="46" t="inlineStr">
        <is>
          <t>Category</t>
        </is>
      </c>
      <c r="G1" s="46" t="inlineStr">
        <is>
          <t>Location</t>
        </is>
      </c>
      <c r="H1" s="46" t="inlineStr">
        <is>
          <t>Eligibility &amp; Visa</t>
        </is>
      </c>
      <c r="I1" s="46" t="inlineStr">
        <is>
          <t>Closing / Cycle</t>
        </is>
      </c>
      <c r="J1" s="46" t="inlineStr">
        <is>
          <t>Status</t>
        </is>
      </c>
      <c r="K1" s="46" t="inlineStr">
        <is>
          <t>Application Link</t>
        </is>
      </c>
      <c r="L1" s="46" t="inlineStr">
        <is>
          <t>Strategic Fit &amp; Profile Rationale</t>
        </is>
      </c>
    </row>
    <row r="2" ht="24" customHeight="1">
      <c r="A2" s="47" t="n">
        <v>1</v>
      </c>
      <c r="B2" s="47" t="inlineStr">
        <is>
          <t>L1 Tier</t>
        </is>
      </c>
      <c r="C2" s="48" t="inlineStr">
        <is>
          <t>Palantir</t>
        </is>
      </c>
      <c r="D2" s="49" t="inlineStr">
        <is>
          <t>Product Designer, Internship</t>
        </is>
      </c>
      <c r="E2" s="50" t="inlineStr">
        <is>
          <t>기업 공식포털 단독발굴
(Trackr 완전누락)</t>
        </is>
      </c>
      <c r="F2" s="48" t="inlineStr">
        <is>
          <t>Product Design / HCI</t>
        </is>
      </c>
      <c r="G2" s="51" t="inlineStr">
        <is>
          <t>London, UK</t>
        </is>
      </c>
      <c r="H2" s="51" t="inlineStr">
        <is>
          <t>Penultimate (2028 졸) / 학생비자 가능</t>
        </is>
      </c>
      <c r="I2" s="51" t="inlineStr">
        <is>
          <t>Rolling (조기마감 주의)</t>
        </is>
      </c>
      <c r="J2" s="48" t="inlineStr">
        <is>
          <t>To-Apply (L1)</t>
        </is>
      </c>
      <c r="K2" s="52" t="inlineStr">
        <is>
          <t>바로 지원하기 ↗</t>
        </is>
      </c>
      <c r="L2" s="49" t="inlineStr">
        <is>
          <t>[L1 최우선] 인간-컴퓨터 상호작용(HCI) 및 인지 모델링 기반 UI/UX 설계. UCL 심리학/인지과학 전공 배경의 독보적 경쟁력 발휘 최적 포지션.</t>
        </is>
      </c>
    </row>
    <row r="3" ht="24" customHeight="1">
      <c r="A3" s="47" t="n">
        <v>2</v>
      </c>
      <c r="B3" s="47" t="inlineStr">
        <is>
          <t>L1 Tier</t>
        </is>
      </c>
      <c r="C3" s="48" t="inlineStr">
        <is>
          <t>Palantir</t>
        </is>
      </c>
      <c r="D3" s="49" t="inlineStr">
        <is>
          <t>Forward Deployed Software Engineer, Intern (Commercial)</t>
        </is>
      </c>
      <c r="E3" s="50" t="inlineStr">
        <is>
          <t>기업 공식포털 단독발굴
(Trackr 완전누락)</t>
        </is>
      </c>
      <c r="F3" s="48" t="inlineStr">
        <is>
          <t>AI / Data Systems</t>
        </is>
      </c>
      <c r="G3" s="51" t="inlineStr">
        <is>
          <t>London, UK</t>
        </is>
      </c>
      <c r="H3" s="51" t="inlineStr">
        <is>
          <t>Penultimate (2028 졸) / 학생비자 가능</t>
        </is>
      </c>
      <c r="I3" s="51" t="inlineStr">
        <is>
          <t>Rolling (조기마감 주의)</t>
        </is>
      </c>
      <c r="J3" s="48" t="inlineStr">
        <is>
          <t>To-Apply (L1)</t>
        </is>
      </c>
      <c r="K3" s="52" t="inlineStr">
        <is>
          <t>바로 지원하기 ↗</t>
        </is>
      </c>
      <c r="L3" s="49" t="inlineStr">
        <is>
          <t>[L1 최우선] 엔지니어링 역량과 클라이언트 비즈니스 문제해결을 결합한 팰런티어 간판 직무. 엔터프라이즈 AI/Foundry 파이프라인 구축.</t>
        </is>
      </c>
    </row>
    <row r="4" ht="24" customHeight="1">
      <c r="A4" s="47" t="n">
        <v>3</v>
      </c>
      <c r="B4" s="47" t="inlineStr">
        <is>
          <t>L1 Tier</t>
        </is>
      </c>
      <c r="C4" s="48" t="inlineStr">
        <is>
          <t>Tower Research Capital</t>
        </is>
      </c>
      <c r="D4" s="49" t="inlineStr">
        <is>
          <t>Quantitative Trader/Researcher Summer 2027 (2028 Graduates)</t>
        </is>
      </c>
      <c r="E4" s="50" t="inlineStr">
        <is>
          <t>기업 공식포털 단독발굴
(Trackr 누락)</t>
        </is>
      </c>
      <c r="F4" s="48" t="inlineStr">
        <is>
          <t>Quant Trading / Research</t>
        </is>
      </c>
      <c r="G4" s="51" t="inlineStr">
        <is>
          <t>London, UK</t>
        </is>
      </c>
      <c r="H4" s="51" t="inlineStr">
        <is>
          <t>2028년 졸업생 전용 (Penultimate)</t>
        </is>
      </c>
      <c r="I4" s="51" t="inlineStr">
        <is>
          <t>Rolling</t>
        </is>
      </c>
      <c r="J4" s="48" t="inlineStr">
        <is>
          <t>To-Apply (L1)</t>
        </is>
      </c>
      <c r="K4" s="52" t="inlineStr">
        <is>
          <t>바로 지원하기 ↗</t>
        </is>
      </c>
      <c r="L4" s="49" t="inlineStr">
        <is>
          <t>[L1 최우선] 2028년 6월 졸업 예정자를 명시적으로 타깃한 맞춤형 공고. 서류 필터링 및 전공 적합성 통과율 극대화.</t>
        </is>
      </c>
    </row>
    <row r="5" ht="24" customHeight="1">
      <c r="A5" s="47" t="n">
        <v>4</v>
      </c>
      <c r="B5" s="47" t="inlineStr">
        <is>
          <t>L1 Tier</t>
        </is>
      </c>
      <c r="C5" s="48" t="inlineStr">
        <is>
          <t>Jump Trading</t>
        </is>
      </c>
      <c r="D5" s="49" t="inlineStr">
        <is>
          <t>Campus ML Research Engineer (Intern)</t>
        </is>
      </c>
      <c r="E5" s="50" t="inlineStr">
        <is>
          <t>기업 공식포털 단독발굴
(Trackr 완전누락)</t>
        </is>
      </c>
      <c r="F5" s="48" t="inlineStr">
        <is>
          <t>AI / ML Research</t>
        </is>
      </c>
      <c r="G5" s="51" t="inlineStr">
        <is>
          <t>London, UK</t>
        </is>
      </c>
      <c r="H5" s="51" t="inlineStr">
        <is>
          <t>Penultimate (2028 졸) / 학생비자 가능</t>
        </is>
      </c>
      <c r="I5" s="51" t="inlineStr">
        <is>
          <t>Rolling (조기마감 주의)</t>
        </is>
      </c>
      <c r="J5" s="48" t="inlineStr">
        <is>
          <t>To-Apply (L1)</t>
        </is>
      </c>
      <c r="K5" s="52" t="inlineStr">
        <is>
          <t>바로 지원하기 ↗</t>
        </is>
      </c>
      <c r="L5" s="49" t="inlineStr">
        <is>
          <t>[L1 최우선] 글로벌 최상위 퀀트 펌의 딥러닝/ML 시계열 예측 모델 R&amp;D. Python 및 정량 모델링 역량 중심 평가.</t>
        </is>
      </c>
    </row>
    <row r="6" ht="24" customHeight="1">
      <c r="A6" s="47" t="n">
        <v>5</v>
      </c>
      <c r="B6" s="47" t="inlineStr">
        <is>
          <t>L1 Tier</t>
        </is>
      </c>
      <c r="C6" s="48" t="inlineStr">
        <is>
          <t>Jump Trading</t>
        </is>
      </c>
      <c r="D6" s="49" t="inlineStr">
        <is>
          <t>Campus Quantitative Researcher (Intern)</t>
        </is>
      </c>
      <c r="E6" s="50" t="inlineStr">
        <is>
          <t>기업 공식포털 단독발굴
(Trackr 완전누락)</t>
        </is>
      </c>
      <c r="F6" s="48" t="inlineStr">
        <is>
          <t>Quant Research</t>
        </is>
      </c>
      <c r="G6" s="51" t="inlineStr">
        <is>
          <t>London, UK</t>
        </is>
      </c>
      <c r="H6" s="51" t="inlineStr">
        <is>
          <t>Penultimate (2028 졸) / 학생비자 가능</t>
        </is>
      </c>
      <c r="I6" s="51" t="inlineStr">
        <is>
          <t>Rolling (조기마감 주의)</t>
        </is>
      </c>
      <c r="J6" s="48" t="inlineStr">
        <is>
          <t>To-Apply (L1)</t>
        </is>
      </c>
      <c r="K6" s="52" t="inlineStr">
        <is>
          <t>바로 지원하기 ↗</t>
        </is>
      </c>
      <c r="L6" s="49" t="inlineStr">
        <is>
          <t>[L1 최우선] 정량 통계 분석, 시장 이상현상(Anomaly) 탐지 및 계량 알파 모델 개발.</t>
        </is>
      </c>
    </row>
    <row r="7" ht="24" customHeight="1">
      <c r="A7" s="53" t="n">
        <v>6</v>
      </c>
      <c r="B7" s="53" t="inlineStr">
        <is>
          <t>L1 Tier</t>
        </is>
      </c>
      <c r="C7" s="54" t="inlineStr">
        <is>
          <t>American Express</t>
        </is>
      </c>
      <c r="D7" s="55" t="inlineStr">
        <is>
          <t>Internship Programme - AI Engineer - 2027</t>
        </is>
      </c>
      <c r="E7" s="56" t="inlineStr">
        <is>
          <t>Trackr UK Tech</t>
        </is>
      </c>
      <c r="F7" s="54" t="inlineStr">
        <is>
          <t>AI and Machine Learning</t>
        </is>
      </c>
      <c r="G7" s="57" t="inlineStr">
        <is>
          <t>London, UK</t>
        </is>
      </c>
      <c r="H7" s="57" t="inlineStr">
        <is>
          <t>Penultimate (2028 졸) / 학생비자 가능</t>
        </is>
      </c>
      <c r="I7" s="57" t="inlineStr">
        <is>
          <t>Rolling</t>
        </is>
      </c>
      <c r="J7" s="54" t="inlineStr">
        <is>
          <t>To-Apply (L1)</t>
        </is>
      </c>
      <c r="K7" s="58" t="inlineStr">
        <is>
          <t>바로 지원하기 ↗</t>
        </is>
      </c>
      <c r="L7" s="55" t="inlineStr">
        <is>
          <t>[L1 최우선] 글로벌 결제 네트워크 빅데이터 기반 차세대 생성형 AI 및 머신러닝 모델 개발. 대기업 정규 스폰서십.</t>
        </is>
      </c>
    </row>
    <row r="8" ht="24" customHeight="1">
      <c r="A8" s="47" t="n">
        <v>7</v>
      </c>
      <c r="B8" s="47" t="inlineStr">
        <is>
          <t>L1 Tier</t>
        </is>
      </c>
      <c r="C8" s="48" t="inlineStr">
        <is>
          <t>Man Group</t>
        </is>
      </c>
      <c r="D8" s="49" t="inlineStr">
        <is>
          <t>People Analytics &amp; AI Transformation Analyst</t>
        </is>
      </c>
      <c r="E8" s="50" t="inlineStr">
        <is>
          <t>기업 공식포털 단독발굴
(Trackr 누락)</t>
        </is>
      </c>
      <c r="F8" s="48" t="inlineStr">
        <is>
          <t>Data / Behavioral AI</t>
        </is>
      </c>
      <c r="G8" s="51" t="inlineStr">
        <is>
          <t>London, UK</t>
        </is>
      </c>
      <c r="H8" s="51" t="inlineStr">
        <is>
          <t>Penultimate (2028 졸)</t>
        </is>
      </c>
      <c r="I8" s="51" t="inlineStr">
        <is>
          <t>Rolling</t>
        </is>
      </c>
      <c r="J8" s="48" t="inlineStr">
        <is>
          <t>To-Apply (L1)</t>
        </is>
      </c>
      <c r="K8" s="52" t="inlineStr">
        <is>
          <t>바로 지원하기 ↗</t>
        </is>
      </c>
      <c r="L8" s="49" t="inlineStr">
        <is>
          <t>[L1 최우선] 조직 행동 데이터 분석 및 사내 AI 전환 전략 수립. 심리학 및 데이터 분석 복합 역량과 100% 일치.</t>
        </is>
      </c>
    </row>
    <row r="9" ht="24" customHeight="1">
      <c r="A9" s="47" t="n">
        <v>8</v>
      </c>
      <c r="B9" s="47" t="inlineStr">
        <is>
          <t>L1 Tier</t>
        </is>
      </c>
      <c r="C9" s="48" t="inlineStr">
        <is>
          <t>Man Group</t>
        </is>
      </c>
      <c r="D9" s="49" t="inlineStr">
        <is>
          <t>2027 Summer Technology Internship Programme</t>
        </is>
      </c>
      <c r="E9" s="50" t="inlineStr">
        <is>
          <t>기업 공식포털 단독발굴
(Trackr 누락)</t>
        </is>
      </c>
      <c r="F9" s="48" t="inlineStr">
        <is>
          <t>Software / Data</t>
        </is>
      </c>
      <c r="G9" s="51" t="inlineStr">
        <is>
          <t>London, UK</t>
        </is>
      </c>
      <c r="H9" s="51" t="inlineStr">
        <is>
          <t>Penultimate (2028 졸) / 스폰서십 가능</t>
        </is>
      </c>
      <c r="I9" s="51" t="inlineStr">
        <is>
          <t>Rolling</t>
        </is>
      </c>
      <c r="J9" s="48" t="inlineStr">
        <is>
          <t>To-Apply (L1)</t>
        </is>
      </c>
      <c r="K9" s="52" t="inlineStr">
        <is>
          <t>바로 지원하기 ↗</t>
        </is>
      </c>
      <c r="L9" s="49" t="inlineStr">
        <is>
          <t>[L1 최우선] 대형 헤지펀드 기술 인프라 및 빅데이터 엔지니어링 인턴십.</t>
        </is>
      </c>
    </row>
    <row r="10" ht="24" customHeight="1">
      <c r="A10" s="53" t="n">
        <v>9</v>
      </c>
      <c r="B10" s="53" t="inlineStr">
        <is>
          <t>L1 Tier</t>
        </is>
      </c>
      <c r="C10" s="54" t="inlineStr">
        <is>
          <t>Tradeweb</t>
        </is>
      </c>
      <c r="D10" s="55" t="inlineStr">
        <is>
          <t>Summer 2027 AI Engineering Internship</t>
        </is>
      </c>
      <c r="E10" s="56" t="inlineStr">
        <is>
          <t>Trackr UK Tech</t>
        </is>
      </c>
      <c r="F10" s="54" t="inlineStr">
        <is>
          <t>AI and Machine Learning</t>
        </is>
      </c>
      <c r="G10" s="57" t="inlineStr">
        <is>
          <t>London, UK</t>
        </is>
      </c>
      <c r="H10" s="57" t="inlineStr">
        <is>
          <t>Penultimate (2028 졸)</t>
        </is>
      </c>
      <c r="I10" s="57" t="inlineStr">
        <is>
          <t>Rolling</t>
        </is>
      </c>
      <c r="J10" s="54" t="inlineStr">
        <is>
          <t>To-Apply (L1)</t>
        </is>
      </c>
      <c r="K10" s="58" t="inlineStr">
        <is>
          <t>바로 지원하기 ↗</t>
        </is>
      </c>
      <c r="L10" s="55" t="inlineStr">
        <is>
          <t>[L1 최우선] 기관 투자자용 글로벌 전자 거래 시스템 내 AI 알고리즘 적용 및 최적화.</t>
        </is>
      </c>
    </row>
    <row r="11" ht="24" customHeight="1">
      <c r="A11" s="53" t="n">
        <v>10</v>
      </c>
      <c r="B11" s="53" t="inlineStr">
        <is>
          <t>L1 Tier</t>
        </is>
      </c>
      <c r="C11" s="54" t="inlineStr">
        <is>
          <t>Bain &amp; Company</t>
        </is>
      </c>
      <c r="D11" s="55" t="inlineStr">
        <is>
          <t>AI Engineering, Intern</t>
        </is>
      </c>
      <c r="E11" s="56" t="inlineStr">
        <is>
          <t>Trackr UK Tech</t>
        </is>
      </c>
      <c r="F11" s="54" t="inlineStr">
        <is>
          <t>AI &amp; Tech Consulting</t>
        </is>
      </c>
      <c r="G11" s="57" t="inlineStr">
        <is>
          <t>London, UK</t>
        </is>
      </c>
      <c r="H11" s="57" t="inlineStr">
        <is>
          <t>Penultimate (2028 졸)</t>
        </is>
      </c>
      <c r="I11" s="57" t="inlineStr">
        <is>
          <t>Rolling</t>
        </is>
      </c>
      <c r="J11" s="54" t="inlineStr">
        <is>
          <t>To-Apply (L1)</t>
        </is>
      </c>
      <c r="K11" s="58" t="inlineStr">
        <is>
          <t>바로 지원하기 ↗</t>
        </is>
      </c>
      <c r="L11" s="55" t="inlineStr">
        <is>
          <t>[L1 최우선] 탑티어 글로벌 전략 컨설팅 펌의 차세대 AI 솔루션 엔지니어링 개발.</t>
        </is>
      </c>
    </row>
    <row r="12" ht="24" customHeight="1">
      <c r="A12" s="47" t="n">
        <v>11</v>
      </c>
      <c r="B12" s="47" t="inlineStr">
        <is>
          <t>L2 Tier</t>
        </is>
      </c>
      <c r="C12" s="48" t="inlineStr">
        <is>
          <t>Palantir</t>
        </is>
      </c>
      <c r="D12" s="49" t="inlineStr">
        <is>
          <t>Software Engineer, Internship</t>
        </is>
      </c>
      <c r="E12" s="50" t="inlineStr">
        <is>
          <t>기업 공식포털 단독발굴
(Trackr 완전누락)</t>
        </is>
      </c>
      <c r="F12" s="48" t="inlineStr">
        <is>
          <t>Software Engineering</t>
        </is>
      </c>
      <c r="G12" s="51" t="inlineStr">
        <is>
          <t>London, UK</t>
        </is>
      </c>
      <c r="H12" s="51" t="inlineStr">
        <is>
          <t>Penultimate (2028 졸)</t>
        </is>
      </c>
      <c r="I12" s="51" t="inlineStr">
        <is>
          <t>Rolling</t>
        </is>
      </c>
      <c r="J12" s="48" t="inlineStr">
        <is>
          <t>To-Apply (L2)</t>
        </is>
      </c>
      <c r="K12" s="52" t="inlineStr">
        <is>
          <t>바로 지원하기 ↗</t>
        </is>
      </c>
      <c r="L12" s="49" t="inlineStr">
        <is>
          <t>대규모 분산 컴퓨팅 및 AIP 플랫폼 코어 엔지니어링.</t>
        </is>
      </c>
    </row>
    <row r="13" ht="24" customHeight="1">
      <c r="A13" s="53" t="n">
        <v>12</v>
      </c>
      <c r="B13" s="53" t="inlineStr">
        <is>
          <t>L2 Tier</t>
        </is>
      </c>
      <c r="C13" s="54" t="inlineStr">
        <is>
          <t>IMC Trading</t>
        </is>
      </c>
      <c r="D13" s="55" t="inlineStr">
        <is>
          <t>Machine Learning Research Intern - Summer 2027</t>
        </is>
      </c>
      <c r="E13" s="56" t="inlineStr">
        <is>
          <t>Trackr UK Tech</t>
        </is>
      </c>
      <c r="F13" s="54" t="inlineStr">
        <is>
          <t>AI &amp; ML / Quant</t>
        </is>
      </c>
      <c r="G13" s="57" t="inlineStr">
        <is>
          <t>London, UK</t>
        </is>
      </c>
      <c r="H13" s="57" t="inlineStr">
        <is>
          <t>Penultimate (2028 졸)</t>
        </is>
      </c>
      <c r="I13" s="57" t="inlineStr">
        <is>
          <t>Rolling</t>
        </is>
      </c>
      <c r="J13" s="54" t="inlineStr">
        <is>
          <t>To-Apply (L2)</t>
        </is>
      </c>
      <c r="K13" s="58" t="inlineStr">
        <is>
          <t>바로 지원하기 ↗</t>
        </is>
      </c>
      <c r="L13" s="55" t="inlineStr">
        <is>
          <t>딥러닝 및 강화학습 기반 초단타 트레이딩 알고리즘 연구.</t>
        </is>
      </c>
    </row>
    <row r="14" ht="24" customHeight="1">
      <c r="A14" s="53" t="n">
        <v>13</v>
      </c>
      <c r="B14" s="53" t="inlineStr">
        <is>
          <t>L2 Tier</t>
        </is>
      </c>
      <c r="C14" s="54" t="inlineStr">
        <is>
          <t>Marshall Wace</t>
        </is>
      </c>
      <c r="D14" s="55" t="inlineStr">
        <is>
          <t>Technology Intern - 2027</t>
        </is>
      </c>
      <c r="E14" s="56" t="inlineStr">
        <is>
          <t>Trackr UK Tech</t>
        </is>
      </c>
      <c r="F14" s="54" t="inlineStr">
        <is>
          <t>Data / Technology</t>
        </is>
      </c>
      <c r="G14" s="57" t="inlineStr">
        <is>
          <t>London, UK</t>
        </is>
      </c>
      <c r="H14" s="57" t="inlineStr">
        <is>
          <t>Penultimate (2028 졸)</t>
        </is>
      </c>
      <c r="I14" s="57" t="inlineStr">
        <is>
          <t>Rolling</t>
        </is>
      </c>
      <c r="J14" s="54" t="inlineStr">
        <is>
          <t>To-Apply (L2)</t>
        </is>
      </c>
      <c r="K14" s="58" t="inlineStr">
        <is>
          <t>바로 지원하기 ↗</t>
        </is>
      </c>
      <c r="L14" s="55" t="inlineStr">
        <is>
          <t>영국 대표 퀀트 헤지펀드 테크놀로지 부서 인턴십. 고성능 시계열 데이터 처리.</t>
        </is>
      </c>
    </row>
    <row r="15" ht="24" customHeight="1">
      <c r="A15" s="53" t="n">
        <v>14</v>
      </c>
      <c r="B15" s="53" t="inlineStr">
        <is>
          <t>L2 Tier</t>
        </is>
      </c>
      <c r="C15" s="54" t="inlineStr">
        <is>
          <t>Hudson River Trading (HRT)</t>
        </is>
      </c>
      <c r="D15" s="55" t="inlineStr">
        <is>
          <t>Software Engineering Internship (Summer 2027)</t>
        </is>
      </c>
      <c r="E15" s="56" t="inlineStr">
        <is>
          <t>Trackr UK Tech</t>
        </is>
      </c>
      <c r="F15" s="54" t="inlineStr">
        <is>
          <t>Quant Dev / SWE</t>
        </is>
      </c>
      <c r="G15" s="57" t="inlineStr">
        <is>
          <t>London, UK</t>
        </is>
      </c>
      <c r="H15" s="57" t="inlineStr">
        <is>
          <t>Penultimate (2028 졸)</t>
        </is>
      </c>
      <c r="I15" s="57" t="inlineStr">
        <is>
          <t>Rolling</t>
        </is>
      </c>
      <c r="J15" s="54" t="inlineStr">
        <is>
          <t>To-Apply (L2)</t>
        </is>
      </c>
      <c r="K15" s="58" t="inlineStr">
        <is>
          <t>바로 지원하기 ↗</t>
        </is>
      </c>
      <c r="L15" s="55" t="inlineStr">
        <is>
          <t>Python 및 C++ 기반 초저지연 분산 트레이딩 플랫폼 개발.</t>
        </is>
      </c>
    </row>
    <row r="16" ht="24" customHeight="1">
      <c r="A16" s="59" t="n">
        <v>15</v>
      </c>
      <c r="B16" s="59" t="inlineStr">
        <is>
          <t>L2 Tier</t>
        </is>
      </c>
      <c r="C16" s="60" t="inlineStr">
        <is>
          <t>Optiver</t>
        </is>
      </c>
      <c r="D16" s="61" t="inlineStr">
        <is>
          <t>Quantitative Trading Internship (2027 Start)</t>
        </is>
      </c>
      <c r="E16" s="62" t="inlineStr">
        <is>
          <t>Trackr UK Finance</t>
        </is>
      </c>
      <c r="F16" s="60" t="inlineStr">
        <is>
          <t>Trading and Quant</t>
        </is>
      </c>
      <c r="G16" s="63" t="inlineStr">
        <is>
          <t>London, UK</t>
        </is>
      </c>
      <c r="H16" s="63" t="inlineStr">
        <is>
          <t>Penultimate (2028 졸)</t>
        </is>
      </c>
      <c r="I16" s="63" t="inlineStr">
        <is>
          <t>Rolling</t>
        </is>
      </c>
      <c r="J16" s="60" t="inlineStr">
        <is>
          <t>To-Apply (L2)</t>
        </is>
      </c>
      <c r="K16" s="64" t="inlineStr">
        <is>
          <t>바로 지원하기 ↗</t>
        </is>
      </c>
      <c r="L16" s="61" t="inlineStr">
        <is>
          <t>글로벌 마켓메이커 정규 인턴십. 계량 수학 및 알고리즘 트레이딩.</t>
        </is>
      </c>
    </row>
    <row r="17" ht="24" customHeight="1">
      <c r="A17" s="53" t="n">
        <v>16</v>
      </c>
      <c r="B17" s="53" t="inlineStr">
        <is>
          <t>L2 Tier</t>
        </is>
      </c>
      <c r="C17" s="54" t="inlineStr">
        <is>
          <t>Quadrature</t>
        </is>
      </c>
      <c r="D17" s="55" t="inlineStr">
        <is>
          <t>Quant Developer Internship</t>
        </is>
      </c>
      <c r="E17" s="56" t="inlineStr">
        <is>
          <t>Trackr UK Tech</t>
        </is>
      </c>
      <c r="F17" s="54" t="inlineStr">
        <is>
          <t>Quant Dev</t>
        </is>
      </c>
      <c r="G17" s="57" t="inlineStr">
        <is>
          <t>London, UK</t>
        </is>
      </c>
      <c r="H17" s="57" t="inlineStr">
        <is>
          <t>Penultimate (2028 졸)</t>
        </is>
      </c>
      <c r="I17" s="57" t="inlineStr">
        <is>
          <t>2026-12-31 마감</t>
        </is>
      </c>
      <c r="J17" s="54" t="inlineStr">
        <is>
          <t>To-Apply (L2)</t>
        </is>
      </c>
      <c r="K17" s="58" t="inlineStr">
        <is>
          <t>바로 지원하기 ↗</t>
        </is>
      </c>
      <c r="L17" s="55" t="inlineStr">
        <is>
          <t>런던 탑티어 퀀트 투자사의 데이터 엔지니어링 및 트레이딩 알고리즘 구현.</t>
        </is>
      </c>
    </row>
    <row r="18" ht="24" customHeight="1">
      <c r="A18" s="53" t="n">
        <v>17</v>
      </c>
      <c r="B18" s="53" t="inlineStr">
        <is>
          <t>L2 Tier</t>
        </is>
      </c>
      <c r="C18" s="54" t="inlineStr">
        <is>
          <t>Castleton Commodities (CCI)</t>
        </is>
      </c>
      <c r="D18" s="55" t="inlineStr">
        <is>
          <t>Data Engineering Internship (Summer 2027)</t>
        </is>
      </c>
      <c r="E18" s="56" t="inlineStr">
        <is>
          <t>Trackr UK Tech</t>
        </is>
      </c>
      <c r="F18" s="54" t="inlineStr">
        <is>
          <t>Data Science</t>
        </is>
      </c>
      <c r="G18" s="57" t="inlineStr">
        <is>
          <t>London, UK</t>
        </is>
      </c>
      <c r="H18" s="57" t="inlineStr">
        <is>
          <t>Penultimate (2028 졸)</t>
        </is>
      </c>
      <c r="I18" s="57" t="inlineStr">
        <is>
          <t>Rolling</t>
        </is>
      </c>
      <c r="J18" s="54" t="inlineStr">
        <is>
          <t>To-Apply (L2)</t>
        </is>
      </c>
      <c r="K18" s="58" t="inlineStr">
        <is>
          <t>바로 지원하기 ↗</t>
        </is>
      </c>
      <c r="L18" s="55" t="inlineStr">
        <is>
          <t>글로벌 원자재 및 에너지 트레이딩 빅데이터 파이프라인 개발.</t>
        </is>
      </c>
    </row>
    <row r="19" ht="24" customHeight="1">
      <c r="A19" s="47" t="n">
        <v>18</v>
      </c>
      <c r="B19" s="47" t="inlineStr">
        <is>
          <t>L2 Tier</t>
        </is>
      </c>
      <c r="C19" s="48" t="inlineStr">
        <is>
          <t>Virtu Financial</t>
        </is>
      </c>
      <c r="D19" s="49" t="inlineStr">
        <is>
          <t>2027 Summer Internship - Technical</t>
        </is>
      </c>
      <c r="E19" s="50" t="inlineStr">
        <is>
          <t>기업 공식포털 단독발굴
(Trackr 누락)</t>
        </is>
      </c>
      <c r="F19" s="48" t="inlineStr">
        <is>
          <t>Tech / Quant Systems</t>
        </is>
      </c>
      <c r="G19" s="51" t="inlineStr">
        <is>
          <t>London, UK</t>
        </is>
      </c>
      <c r="H19" s="51" t="inlineStr">
        <is>
          <t>Penultimate (2028 졸)</t>
        </is>
      </c>
      <c r="I19" s="51" t="inlineStr">
        <is>
          <t>Rolling</t>
        </is>
      </c>
      <c r="J19" s="48" t="inlineStr">
        <is>
          <t>To-Apply (L2)</t>
        </is>
      </c>
      <c r="K19" s="52" t="inlineStr">
        <is>
          <t>바로 지원하기 ↗</t>
        </is>
      </c>
      <c r="L19" s="49" t="inlineStr">
        <is>
          <t>글로벌 마켓메이커 기술 인프라 및 트레이딩 시스템 엔지니어링.</t>
        </is>
      </c>
    </row>
    <row r="20" ht="24" customHeight="1">
      <c r="A20" s="47" t="n">
        <v>19</v>
      </c>
      <c r="B20" s="47" t="inlineStr">
        <is>
          <t>L2 Tier</t>
        </is>
      </c>
      <c r="C20" s="48" t="inlineStr">
        <is>
          <t>Maven Securities</t>
        </is>
      </c>
      <c r="D20" s="49" t="inlineStr">
        <is>
          <t>London Trader Summer Internship 2027</t>
        </is>
      </c>
      <c r="E20" s="50" t="inlineStr">
        <is>
          <t>기업 공식포털 단독발굴
(Trackr 누락)</t>
        </is>
      </c>
      <c r="F20" s="48" t="inlineStr">
        <is>
          <t>Quant Trading</t>
        </is>
      </c>
      <c r="G20" s="51" t="inlineStr">
        <is>
          <t>London, UK</t>
        </is>
      </c>
      <c r="H20" s="51" t="inlineStr">
        <is>
          <t>Penultimate (2028 졸)</t>
        </is>
      </c>
      <c r="I20" s="51" t="inlineStr">
        <is>
          <t>2026-10-21 마감</t>
        </is>
      </c>
      <c r="J20" s="48" t="inlineStr">
        <is>
          <t>To-Apply (L2)</t>
        </is>
      </c>
      <c r="K20" s="52" t="inlineStr">
        <is>
          <t>바로 지원하기 ↗</t>
        </is>
      </c>
      <c r="L20" s="49" t="inlineStr">
        <is>
          <t>런던 파생상품 마켓메이킹 알고리즘 및 트레이딩 데스크 실무.</t>
        </is>
      </c>
    </row>
    <row r="21" ht="24" customHeight="1">
      <c r="A21" s="47" t="n">
        <v>20</v>
      </c>
      <c r="B21" s="47" t="inlineStr">
        <is>
          <t>L2 Tier</t>
        </is>
      </c>
      <c r="C21" s="48" t="inlineStr">
        <is>
          <t>The Technology Partnership (TTP)</t>
        </is>
      </c>
      <c r="D21" s="49" t="inlineStr">
        <is>
          <t>Summer Internship - Electronic Engineering Consultant</t>
        </is>
      </c>
      <c r="E21" s="50" t="inlineStr">
        <is>
          <t>기업 공식포털 단독발굴
(Trackr 누락)</t>
        </is>
      </c>
      <c r="F21" s="48" t="inlineStr">
        <is>
          <t>Tech Consulting / Hardware</t>
        </is>
      </c>
      <c r="G21" s="51" t="inlineStr">
        <is>
          <t>Melbourn, UK</t>
        </is>
      </c>
      <c r="H21" s="51" t="inlineStr">
        <is>
          <t>Penultimate (2028 졸)</t>
        </is>
      </c>
      <c r="I21" s="51" t="inlineStr">
        <is>
          <t>Rolling</t>
        </is>
      </c>
      <c r="J21" s="48" t="inlineStr">
        <is>
          <t>To-Apply (L2)</t>
        </is>
      </c>
      <c r="K21" s="52" t="inlineStr">
        <is>
          <t>바로 지원하기 ↗</t>
        </is>
      </c>
      <c r="L21" s="49" t="inlineStr">
        <is>
          <t>헬스케어 및 메디컬 디바이스, 바이오 센서 하드웨어 프로토타이핑 컨설팅.</t>
        </is>
      </c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8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45" customWidth="1" min="3" max="3"/>
    <col width="28" customWidth="1" min="4" max="4"/>
    <col width="25" customWidth="1" min="5" max="5"/>
    <col width="16" customWidth="1" min="6" max="6"/>
    <col width="22" customWidth="1" min="7" max="7"/>
    <col width="16" customWidth="1" min="8" max="8"/>
  </cols>
  <sheetData>
    <row r="1" ht="26" customHeight="1">
      <c r="A1" s="65" t="inlineStr">
        <is>
          <t>No</t>
        </is>
      </c>
      <c r="B1" s="65" t="inlineStr">
        <is>
          <t>Company ID</t>
        </is>
      </c>
      <c r="C1" s="65" t="inlineStr">
        <is>
          <t>Programme Name</t>
        </is>
      </c>
      <c r="D1" s="65" t="inlineStr">
        <is>
          <t>Categories</t>
        </is>
      </c>
      <c r="E1" s="65" t="inlineStr">
        <is>
          <t>Locations</t>
        </is>
      </c>
      <c r="F1" s="65" t="inlineStr">
        <is>
          <t>Visa Sponsorship</t>
        </is>
      </c>
      <c r="G1" s="65" t="inlineStr">
        <is>
          <t>Closing Date</t>
        </is>
      </c>
      <c r="H1" s="65" t="inlineStr">
        <is>
          <t>Application URL</t>
        </is>
      </c>
    </row>
    <row r="2">
      <c r="A2" s="66" t="n">
        <v>1</v>
      </c>
      <c r="B2" s="67" t="inlineStr">
        <is>
          <t>american-express</t>
        </is>
      </c>
      <c r="C2" s="67" t="inlineStr">
        <is>
          <t>Internship Programme - AI Engineer - 2027</t>
        </is>
      </c>
      <c r="D2" s="67" t="inlineStr">
        <is>
          <t>Software Engineering, AI and Machine Learning, Cyber Security</t>
        </is>
      </c>
      <c r="E2" s="67" t="n"/>
      <c r="F2" s="66" t="inlineStr">
        <is>
          <t>N/A</t>
        </is>
      </c>
      <c r="G2" s="66" t="inlineStr">
        <is>
          <t>Rolling / Unspecified</t>
        </is>
      </c>
      <c r="H2" s="68" t="inlineStr">
        <is>
          <t>지원 링크 ↗</t>
        </is>
      </c>
    </row>
    <row r="3">
      <c r="A3" s="66" t="n">
        <v>2</v>
      </c>
      <c r="B3" s="67" t="inlineStr">
        <is>
          <t>j-p-morgan</t>
        </is>
      </c>
      <c r="C3" s="67" t="inlineStr">
        <is>
          <t>2027 Software Engineer Program - Summer Internship</t>
        </is>
      </c>
      <c r="D3" s="67" t="inlineStr">
        <is>
          <t>Software Engineering</t>
        </is>
      </c>
      <c r="E3" s="67" t="n"/>
      <c r="F3" s="66" t="inlineStr">
        <is>
          <t>N/A</t>
        </is>
      </c>
      <c r="G3" s="66" t="inlineStr">
        <is>
          <t>2026-11-01T00:00:00.000Z</t>
        </is>
      </c>
      <c r="H3" s="68" t="inlineStr">
        <is>
          <t>지원 링크 ↗</t>
        </is>
      </c>
    </row>
    <row r="4">
      <c r="A4" s="66" t="n">
        <v>3</v>
      </c>
      <c r="B4" s="67" t="inlineStr">
        <is>
          <t>bank-of-america</t>
        </is>
      </c>
      <c r="C4" s="67" t="inlineStr">
        <is>
          <t>Cyber Security, Summer 2027 Analyst</t>
        </is>
      </c>
      <c r="D4" s="67" t="inlineStr">
        <is>
          <t>Software Engineering, DevOps and Infrastructure, Cyber Security</t>
        </is>
      </c>
      <c r="E4" s="67" t="n"/>
      <c r="F4" s="66" t="inlineStr">
        <is>
          <t>N/A</t>
        </is>
      </c>
      <c r="G4" s="66" t="inlineStr">
        <is>
          <t>2026-10-11T00:00:00.000Z</t>
        </is>
      </c>
      <c r="H4" s="68" t="inlineStr">
        <is>
          <t>지원 링크 ↗</t>
        </is>
      </c>
    </row>
    <row r="5">
      <c r="A5" s="66" t="n">
        <v>4</v>
      </c>
      <c r="B5" s="67" t="inlineStr">
        <is>
          <t>castleton-commodities-international</t>
        </is>
      </c>
      <c r="C5" s="67" t="inlineStr">
        <is>
          <t>Data Science Machine Learning Internship (Summer 2027)</t>
        </is>
      </c>
      <c r="D5" s="67" t="inlineStr">
        <is>
          <t>AI and Machine Learning</t>
        </is>
      </c>
      <c r="E5" s="67" t="n"/>
      <c r="F5" s="66" t="inlineStr">
        <is>
          <t>N/A</t>
        </is>
      </c>
      <c r="G5" s="66" t="inlineStr">
        <is>
          <t>2026-09-13T00:00:00.000Z</t>
        </is>
      </c>
      <c r="H5" s="68" t="inlineStr">
        <is>
          <t>지원 링크 ↗</t>
        </is>
      </c>
    </row>
    <row r="6">
      <c r="A6" s="66" t="n">
        <v>5</v>
      </c>
      <c r="B6" s="67" t="inlineStr">
        <is>
          <t>tencent</t>
        </is>
      </c>
      <c r="C6" s="67" t="inlineStr">
        <is>
          <t>Cyber Security Intern</t>
        </is>
      </c>
      <c r="D6" s="67" t="inlineStr">
        <is>
          <t>Cyber Security</t>
        </is>
      </c>
      <c r="E6" s="67" t="n"/>
      <c r="F6" s="66" t="inlineStr">
        <is>
          <t>N/A</t>
        </is>
      </c>
      <c r="G6" s="66" t="inlineStr">
        <is>
          <t>Rolling / Unspecified</t>
        </is>
      </c>
      <c r="H6" s="68" t="inlineStr">
        <is>
          <t>지원 링크 ↗</t>
        </is>
      </c>
    </row>
    <row r="7">
      <c r="A7" s="66" t="n">
        <v>6</v>
      </c>
      <c r="B7" s="67" t="inlineStr">
        <is>
          <t>johnson-johnson</t>
        </is>
      </c>
      <c r="C7" s="67" t="inlineStr">
        <is>
          <t>AI/ML Summer Intern - Statistics &amp; Decision Sciences (SDS)</t>
        </is>
      </c>
      <c r="D7" s="67" t="inlineStr">
        <is>
          <t>AI and Machine Learning</t>
        </is>
      </c>
      <c r="E7" s="67" t="n"/>
      <c r="F7" s="66" t="inlineStr">
        <is>
          <t>N/A</t>
        </is>
      </c>
      <c r="G7" s="66" t="inlineStr">
        <is>
          <t>Rolling / Unspecified</t>
        </is>
      </c>
      <c r="H7" s="66" t="inlineStr">
        <is>
          <t>미제공 (포털직접)</t>
        </is>
      </c>
    </row>
    <row r="8">
      <c r="A8" s="66" t="n">
        <v>7</v>
      </c>
      <c r="B8" s="67" t="inlineStr">
        <is>
          <t>d-e-shaw</t>
        </is>
      </c>
      <c r="C8" s="67" t="inlineStr">
        <is>
          <t>Systems Engineering Intern - Summer 2027</t>
        </is>
      </c>
      <c r="D8" s="67" t="inlineStr">
        <is>
          <t>Promoted, DevOps and Infrastructure</t>
        </is>
      </c>
      <c r="E8" s="67" t="n"/>
      <c r="F8" s="66" t="inlineStr">
        <is>
          <t>N/A</t>
        </is>
      </c>
      <c r="G8" s="66" t="inlineStr">
        <is>
          <t>Rolling / Unspecified</t>
        </is>
      </c>
      <c r="H8" s="68" t="inlineStr">
        <is>
          <t>지원 링크 ↗</t>
        </is>
      </c>
    </row>
    <row r="9">
      <c r="A9" s="66" t="n">
        <v>8</v>
      </c>
      <c r="B9" s="67" t="inlineStr">
        <is>
          <t>samsara</t>
        </is>
      </c>
      <c r="C9" s="67" t="inlineStr">
        <is>
          <t>Software Engineering Internship</t>
        </is>
      </c>
      <c r="D9" s="67" t="inlineStr">
        <is>
          <t>Software Engineering</t>
        </is>
      </c>
      <c r="E9" s="67" t="n"/>
      <c r="F9" s="66" t="inlineStr">
        <is>
          <t>N/A</t>
        </is>
      </c>
      <c r="G9" s="66" t="inlineStr">
        <is>
          <t>2026-09-04T00:00:00.000Z</t>
        </is>
      </c>
      <c r="H9" s="68" t="inlineStr">
        <is>
          <t>지원 링크 ↗</t>
        </is>
      </c>
    </row>
    <row r="10">
      <c r="A10" s="66" t="n">
        <v>9</v>
      </c>
      <c r="B10" s="67" t="inlineStr">
        <is>
          <t>bgc-group</t>
        </is>
      </c>
      <c r="C10" s="67" t="inlineStr">
        <is>
          <t>2027 Technology Summer Internship Programme</t>
        </is>
      </c>
      <c r="D10" s="67" t="inlineStr">
        <is>
          <t>Software Engineering</t>
        </is>
      </c>
      <c r="E10" s="67" t="n"/>
      <c r="F10" s="66" t="inlineStr">
        <is>
          <t>N/A</t>
        </is>
      </c>
      <c r="G10" s="66" t="inlineStr">
        <is>
          <t>Rolling / Unspecified</t>
        </is>
      </c>
      <c r="H10" s="66" t="inlineStr">
        <is>
          <t>미제공 (포털직접)</t>
        </is>
      </c>
    </row>
    <row r="11">
      <c r="A11" s="66" t="n">
        <v>10</v>
      </c>
      <c r="B11" s="67" t="inlineStr">
        <is>
          <t>viator</t>
        </is>
      </c>
      <c r="C11" s="67" t="inlineStr">
        <is>
          <t>Software Engineering Internship 2027</t>
        </is>
      </c>
      <c r="D11" s="67" t="inlineStr">
        <is>
          <t>Software Engineering</t>
        </is>
      </c>
      <c r="E11" s="67" t="n"/>
      <c r="F11" s="66" t="inlineStr">
        <is>
          <t>N/A</t>
        </is>
      </c>
      <c r="G11" s="66" t="inlineStr">
        <is>
          <t>Rolling / Unspecified</t>
        </is>
      </c>
      <c r="H11" s="66" t="inlineStr">
        <is>
          <t>미제공 (포털직접)</t>
        </is>
      </c>
    </row>
    <row r="12">
      <c r="A12" s="66" t="n">
        <v>11</v>
      </c>
      <c r="B12" s="67" t="inlineStr">
        <is>
          <t>arch-insurance-international</t>
        </is>
      </c>
      <c r="C12" s="67" t="inlineStr">
        <is>
          <t>IT Summer Internship - 2027</t>
        </is>
      </c>
      <c r="D12" s="67" t="inlineStr">
        <is>
          <t>IT</t>
        </is>
      </c>
      <c r="E12" s="67" t="n"/>
      <c r="F12" s="66" t="inlineStr">
        <is>
          <t>N/A</t>
        </is>
      </c>
      <c r="G12" s="66" t="inlineStr">
        <is>
          <t>Rolling / Unspecified</t>
        </is>
      </c>
      <c r="H12" s="66" t="inlineStr">
        <is>
          <t>미제공 (포털직접)</t>
        </is>
      </c>
    </row>
    <row r="13">
      <c r="A13" s="66" t="n">
        <v>12</v>
      </c>
      <c r="B13" s="67" t="inlineStr">
        <is>
          <t>british-business-bank</t>
        </is>
      </c>
      <c r="C13" s="67" t="inlineStr">
        <is>
          <t>Summer Internship Programme 2027</t>
        </is>
      </c>
      <c r="D13" s="67" t="inlineStr">
        <is>
          <t>Miscellaneous</t>
        </is>
      </c>
      <c r="E13" s="67" t="n"/>
      <c r="F13" s="66" t="inlineStr">
        <is>
          <t>N/A</t>
        </is>
      </c>
      <c r="G13" s="66" t="inlineStr">
        <is>
          <t>Rolling / Unspecified</t>
        </is>
      </c>
      <c r="H13" s="66" t="inlineStr">
        <is>
          <t>미제공 (포털직접)</t>
        </is>
      </c>
    </row>
    <row r="14">
      <c r="A14" s="66" t="n">
        <v>13</v>
      </c>
      <c r="B14" s="67" t="inlineStr">
        <is>
          <t>compare-the-market</t>
        </is>
      </c>
      <c r="C14" s="67" t="inlineStr">
        <is>
          <t>Data Intern</t>
        </is>
      </c>
      <c r="D14" s="67" t="inlineStr">
        <is>
          <t>Data Science</t>
        </is>
      </c>
      <c r="E14" s="67" t="n"/>
      <c r="F14" s="66" t="inlineStr">
        <is>
          <t>N/A</t>
        </is>
      </c>
      <c r="G14" s="66" t="inlineStr">
        <is>
          <t>Rolling / Unspecified</t>
        </is>
      </c>
      <c r="H14" s="66" t="inlineStr">
        <is>
          <t>미제공 (포털직접)</t>
        </is>
      </c>
    </row>
    <row r="15">
      <c r="A15" s="66" t="n">
        <v>14</v>
      </c>
      <c r="B15" s="67" t="inlineStr">
        <is>
          <t>government-statistical-service</t>
        </is>
      </c>
      <c r="C15" s="67" t="inlineStr">
        <is>
          <t>Summer Student Placements 2027</t>
        </is>
      </c>
      <c r="D15" s="67" t="inlineStr">
        <is>
          <t>Data Science</t>
        </is>
      </c>
      <c r="E15" s="67" t="n"/>
      <c r="F15" s="66" t="inlineStr">
        <is>
          <t>N/A</t>
        </is>
      </c>
      <c r="G15" s="66" t="inlineStr">
        <is>
          <t>Rolling / Unspecified</t>
        </is>
      </c>
      <c r="H15" s="66" t="inlineStr">
        <is>
          <t>미제공 (포털직접)</t>
        </is>
      </c>
    </row>
    <row r="16">
      <c r="A16" s="66" t="n">
        <v>15</v>
      </c>
      <c r="B16" s="67" t="inlineStr">
        <is>
          <t>revolut</t>
        </is>
      </c>
      <c r="C16" s="67" t="inlineStr">
        <is>
          <t>Internship Programme 2027</t>
        </is>
      </c>
      <c r="D16" s="67" t="inlineStr">
        <is>
          <t>Software Engineering</t>
        </is>
      </c>
      <c r="E16" s="67" t="n"/>
      <c r="F16" s="66" t="inlineStr">
        <is>
          <t>N/A</t>
        </is>
      </c>
      <c r="G16" s="66" t="inlineStr">
        <is>
          <t>Rolling / Unspecified</t>
        </is>
      </c>
      <c r="H16" s="68" t="inlineStr">
        <is>
          <t>지원 링크 ↗</t>
        </is>
      </c>
    </row>
    <row r="17">
      <c r="A17" s="66" t="n">
        <v>16</v>
      </c>
      <c r="B17" s="67" t="inlineStr">
        <is>
          <t>phasecraft</t>
        </is>
      </c>
      <c r="C17" s="67" t="inlineStr">
        <is>
          <t>Quantum Software Intern</t>
        </is>
      </c>
      <c r="D17" s="67" t="inlineStr">
        <is>
          <t>Software Engineering</t>
        </is>
      </c>
      <c r="E17" s="67" t="n"/>
      <c r="F17" s="66" t="inlineStr">
        <is>
          <t>N/A</t>
        </is>
      </c>
      <c r="G17" s="66" t="inlineStr">
        <is>
          <t>Rolling / Unspecified</t>
        </is>
      </c>
      <c r="H17" s="66" t="inlineStr">
        <is>
          <t>미제공 (포털직접)</t>
        </is>
      </c>
    </row>
    <row r="18">
      <c r="A18" s="66" t="n">
        <v>17</v>
      </c>
      <c r="B18" s="67" t="inlineStr">
        <is>
          <t>caxton-associates</t>
        </is>
      </c>
      <c r="C18" s="67" t="inlineStr">
        <is>
          <t>2027 Summer Internship Programme</t>
        </is>
      </c>
      <c r="D18" s="67" t="inlineStr">
        <is>
          <t>Data Science</t>
        </is>
      </c>
      <c r="E18" s="67" t="n"/>
      <c r="F18" s="66" t="inlineStr">
        <is>
          <t>N/A</t>
        </is>
      </c>
      <c r="G18" s="66" t="inlineStr">
        <is>
          <t>Rolling / Unspecified</t>
        </is>
      </c>
      <c r="H18" s="66" t="inlineStr">
        <is>
          <t>미제공 (포털직접)</t>
        </is>
      </c>
    </row>
    <row r="19">
      <c r="A19" s="66" t="n">
        <v>18</v>
      </c>
      <c r="B19" s="67" t="inlineStr">
        <is>
          <t>american-express</t>
        </is>
      </c>
      <c r="C19" s="67" t="inlineStr">
        <is>
          <t>Internship Programme - Information Security Engineer - 2027</t>
        </is>
      </c>
      <c r="D19" s="67" t="inlineStr">
        <is>
          <t>Software Engineering, AI and Machine Learning, Cyber Security</t>
        </is>
      </c>
      <c r="E19" s="67" t="n"/>
      <c r="F19" s="66" t="inlineStr">
        <is>
          <t>N/A</t>
        </is>
      </c>
      <c r="G19" s="66" t="inlineStr">
        <is>
          <t>Rolling / Unspecified</t>
        </is>
      </c>
      <c r="H19" s="68" t="inlineStr">
        <is>
          <t>지원 링크 ↗</t>
        </is>
      </c>
    </row>
    <row r="20">
      <c r="A20" s="66" t="n">
        <v>19</v>
      </c>
      <c r="B20" s="67" t="inlineStr">
        <is>
          <t>general-electric</t>
        </is>
      </c>
      <c r="C20" s="67" t="inlineStr">
        <is>
          <t>GE Vernova - Data Analyst Intern</t>
        </is>
      </c>
      <c r="D20" s="67" t="inlineStr">
        <is>
          <t>Data Science</t>
        </is>
      </c>
      <c r="E20" s="67" t="n"/>
      <c r="F20" s="66" t="inlineStr">
        <is>
          <t>N/A</t>
        </is>
      </c>
      <c r="G20" s="66" t="inlineStr">
        <is>
          <t>Rolling / Unspecified</t>
        </is>
      </c>
      <c r="H20" s="66" t="inlineStr">
        <is>
          <t>미제공 (포털직접)</t>
        </is>
      </c>
    </row>
    <row r="21">
      <c r="A21" s="66" t="n">
        <v>20</v>
      </c>
      <c r="B21" s="67" t="inlineStr">
        <is>
          <t>nvidia</t>
        </is>
      </c>
      <c r="C21" s="67" t="inlineStr">
        <is>
          <t>Technology Intern - 2027</t>
        </is>
      </c>
      <c r="D21" s="67" t="inlineStr">
        <is>
          <t>Software Engineering</t>
        </is>
      </c>
      <c r="E21" s="67" t="n"/>
      <c r="F21" s="66" t="inlineStr">
        <is>
          <t>N/A</t>
        </is>
      </c>
      <c r="G21" s="66" t="inlineStr">
        <is>
          <t>Rolling / Unspecified</t>
        </is>
      </c>
      <c r="H21" s="66" t="inlineStr">
        <is>
          <t>미제공 (포털직접)</t>
        </is>
      </c>
    </row>
    <row r="22">
      <c r="A22" s="66" t="n">
        <v>21</v>
      </c>
      <c r="B22" s="67" t="inlineStr">
        <is>
          <t>gsa-capital</t>
        </is>
      </c>
      <c r="C22" s="67" t="inlineStr">
        <is>
          <t>Software Developer - Intern</t>
        </is>
      </c>
      <c r="D22" s="67" t="inlineStr">
        <is>
          <t>Quant Developer</t>
        </is>
      </c>
      <c r="E22" s="67" t="n"/>
      <c r="F22" s="66" t="inlineStr">
        <is>
          <t>N/A</t>
        </is>
      </c>
      <c r="G22" s="66" t="inlineStr">
        <is>
          <t>Rolling / Unspecified</t>
        </is>
      </c>
      <c r="H22" s="68" t="inlineStr">
        <is>
          <t>지원 링크 ↗</t>
        </is>
      </c>
    </row>
    <row r="23">
      <c r="A23" s="66" t="n">
        <v>22</v>
      </c>
      <c r="B23" s="67" t="inlineStr">
        <is>
          <t>aspect-capital</t>
        </is>
      </c>
      <c r="C23" s="67" t="inlineStr">
        <is>
          <t>Quantitative Research Intern - Execution Research</t>
        </is>
      </c>
      <c r="D23" s="67" t="inlineStr">
        <is>
          <t>Quant Developer</t>
        </is>
      </c>
      <c r="E23" s="67" t="n"/>
      <c r="F23" s="66" t="inlineStr">
        <is>
          <t>N/A</t>
        </is>
      </c>
      <c r="G23" s="66" t="inlineStr">
        <is>
          <t>Rolling / Unspecified</t>
        </is>
      </c>
      <c r="H23" s="66" t="inlineStr">
        <is>
          <t>미제공 (포털직접)</t>
        </is>
      </c>
    </row>
    <row r="24">
      <c r="A24" s="66" t="n">
        <v>23</v>
      </c>
      <c r="B24" s="67" t="inlineStr">
        <is>
          <t>goldman-sachs</t>
        </is>
      </c>
      <c r="C24" s="67" t="inlineStr">
        <is>
          <t>2027 Summer Analyst Programme</t>
        </is>
      </c>
      <c r="D24" s="67" t="inlineStr">
        <is>
          <t>Software Engineering</t>
        </is>
      </c>
      <c r="E24" s="67" t="n"/>
      <c r="F24" s="66" t="inlineStr">
        <is>
          <t>N/A</t>
        </is>
      </c>
      <c r="G24" s="66" t="inlineStr">
        <is>
          <t>Rolling / Unspecified</t>
        </is>
      </c>
      <c r="H24" s="68" t="inlineStr">
        <is>
          <t>지원 링크 ↗</t>
        </is>
      </c>
    </row>
    <row r="25">
      <c r="A25" s="66" t="n">
        <v>24</v>
      </c>
      <c r="B25" s="67" t="inlineStr">
        <is>
          <t>checkout-com</t>
        </is>
      </c>
      <c r="C25" s="67" t="inlineStr">
        <is>
          <t>Intern, Data Analytics</t>
        </is>
      </c>
      <c r="D25" s="67" t="inlineStr">
        <is>
          <t>Data Science</t>
        </is>
      </c>
      <c r="E25" s="67" t="n"/>
      <c r="F25" s="66" t="inlineStr">
        <is>
          <t>N/A</t>
        </is>
      </c>
      <c r="G25" s="66" t="inlineStr">
        <is>
          <t>Rolling / Unspecified</t>
        </is>
      </c>
      <c r="H25" s="66" t="inlineStr">
        <is>
          <t>미제공 (포털직접)</t>
        </is>
      </c>
    </row>
    <row r="26">
      <c r="A26" s="66" t="n">
        <v>25</v>
      </c>
      <c r="B26" s="67" t="inlineStr">
        <is>
          <t>australiansuper</t>
        </is>
      </c>
      <c r="C26" s="67" t="inlineStr">
        <is>
          <t>2027 Summer Intern Program</t>
        </is>
      </c>
      <c r="D26" s="67" t="inlineStr">
        <is>
          <t>Software Engineering, Data Science, DevOps and Infrastructure, Cyber Security</t>
        </is>
      </c>
      <c r="E26" s="67" t="n"/>
      <c r="F26" s="66" t="inlineStr">
        <is>
          <t>N/A</t>
        </is>
      </c>
      <c r="G26" s="66" t="inlineStr">
        <is>
          <t>Rolling / Unspecified</t>
        </is>
      </c>
      <c r="H26" s="66" t="inlineStr">
        <is>
          <t>미제공 (포털직접)</t>
        </is>
      </c>
    </row>
    <row r="27">
      <c r="A27" s="66" t="n">
        <v>26</v>
      </c>
      <c r="B27" s="67" t="inlineStr">
        <is>
          <t>vanguard</t>
        </is>
      </c>
      <c r="C27" s="67" t="inlineStr">
        <is>
          <t>Technology Internship (Summer 2027)</t>
        </is>
      </c>
      <c r="D27" s="67" t="inlineStr">
        <is>
          <t>Software Engineering</t>
        </is>
      </c>
      <c r="E27" s="67" t="n"/>
      <c r="F27" s="66" t="inlineStr">
        <is>
          <t>N/A</t>
        </is>
      </c>
      <c r="G27" s="66" t="inlineStr">
        <is>
          <t>Rolling / Unspecified</t>
        </is>
      </c>
      <c r="H27" s="66" t="inlineStr">
        <is>
          <t>미제공 (포털직접)</t>
        </is>
      </c>
    </row>
    <row r="28">
      <c r="A28" s="66" t="n">
        <v>27</v>
      </c>
      <c r="B28" s="67" t="inlineStr">
        <is>
          <t>ciena</t>
        </is>
      </c>
      <c r="C28" s="67" t="inlineStr">
        <is>
          <t>Software Engineering Intern</t>
        </is>
      </c>
      <c r="D28" s="67" t="inlineStr">
        <is>
          <t>Software Engineering</t>
        </is>
      </c>
      <c r="E28" s="67" t="n"/>
      <c r="F28" s="66" t="inlineStr">
        <is>
          <t>N/A</t>
        </is>
      </c>
      <c r="G28" s="66" t="inlineStr">
        <is>
          <t>2026-09-13T00:00:00.000Z</t>
        </is>
      </c>
      <c r="H28" s="68" t="inlineStr">
        <is>
          <t>지원 링크 ↗</t>
        </is>
      </c>
    </row>
    <row r="29">
      <c r="A29" s="66" t="n">
        <v>28</v>
      </c>
      <c r="B29" s="67" t="inlineStr">
        <is>
          <t>quadrature</t>
        </is>
      </c>
      <c r="C29" s="67" t="inlineStr">
        <is>
          <t>Quant Developer Internship</t>
        </is>
      </c>
      <c r="D29" s="67" t="inlineStr">
        <is>
          <t>Quant Developer</t>
        </is>
      </c>
      <c r="E29" s="67" t="n"/>
      <c r="F29" s="66" t="inlineStr">
        <is>
          <t>N/A</t>
        </is>
      </c>
      <c r="G29" s="66" t="inlineStr">
        <is>
          <t>2026-12-31T00:00:00.000Z</t>
        </is>
      </c>
      <c r="H29" s="68" t="inlineStr">
        <is>
          <t>지원 링크 ↗</t>
        </is>
      </c>
    </row>
    <row r="30">
      <c r="A30" s="66" t="n">
        <v>29</v>
      </c>
      <c r="B30" s="67" t="inlineStr">
        <is>
          <t>rokos-capital-management</t>
        </is>
      </c>
      <c r="C30" s="67" t="inlineStr">
        <is>
          <t>RCM Internship Programme 2027</t>
        </is>
      </c>
      <c r="D30" s="67" t="inlineStr">
        <is>
          <t>Software Engineering</t>
        </is>
      </c>
      <c r="E30" s="67" t="n"/>
      <c r="F30" s="66" t="inlineStr">
        <is>
          <t>N/A</t>
        </is>
      </c>
      <c r="G30" s="66" t="inlineStr">
        <is>
          <t>Rolling / Unspecified</t>
        </is>
      </c>
      <c r="H30" s="66" t="inlineStr">
        <is>
          <t>미제공 (포털직접)</t>
        </is>
      </c>
    </row>
    <row r="31">
      <c r="A31" s="66" t="n">
        <v>30</v>
      </c>
      <c r="B31" s="67" t="inlineStr">
        <is>
          <t>virtu-financial</t>
        </is>
      </c>
      <c r="C31" s="67" t="inlineStr">
        <is>
          <t>2027 Internship - Software Engineer</t>
        </is>
      </c>
      <c r="D31" s="67" t="inlineStr">
        <is>
          <t>Quant Developer</t>
        </is>
      </c>
      <c r="E31" s="67" t="n"/>
      <c r="F31" s="66" t="inlineStr">
        <is>
          <t>N/A</t>
        </is>
      </c>
      <c r="G31" s="66" t="inlineStr">
        <is>
          <t>Rolling / Unspecified</t>
        </is>
      </c>
      <c r="H31" s="68" t="inlineStr">
        <is>
          <t>지원 링크 ↗</t>
        </is>
      </c>
    </row>
    <row r="32">
      <c r="A32" s="66" t="n">
        <v>31</v>
      </c>
      <c r="B32" s="67" t="inlineStr">
        <is>
          <t>btg-pactual</t>
        </is>
      </c>
      <c r="C32" s="67" t="inlineStr">
        <is>
          <t>Summer Undergrad 2027</t>
        </is>
      </c>
      <c r="D32" s="67" t="inlineStr">
        <is>
          <t>Software Engineering, Data Science, DevOps and Infrastructure, Cyber Security</t>
        </is>
      </c>
      <c r="E32" s="67" t="n"/>
      <c r="F32" s="66" t="inlineStr">
        <is>
          <t>N/A</t>
        </is>
      </c>
      <c r="G32" s="66" t="inlineStr">
        <is>
          <t>Rolling / Unspecified</t>
        </is>
      </c>
      <c r="H32" s="68" t="inlineStr">
        <is>
          <t>지원 링크 ↗</t>
        </is>
      </c>
    </row>
    <row r="33">
      <c r="A33" s="66" t="n">
        <v>32</v>
      </c>
      <c r="B33" s="67" t="inlineStr">
        <is>
          <t>waters-corporation</t>
        </is>
      </c>
      <c r="C33" s="67" t="inlineStr">
        <is>
          <t>Software Engineering Summer Intern</t>
        </is>
      </c>
      <c r="D33" s="67" t="inlineStr">
        <is>
          <t>Software Engineering</t>
        </is>
      </c>
      <c r="E33" s="67" t="n"/>
      <c r="F33" s="66" t="inlineStr">
        <is>
          <t>N/A</t>
        </is>
      </c>
      <c r="G33" s="66" t="inlineStr">
        <is>
          <t>Rolling / Unspecified</t>
        </is>
      </c>
      <c r="H33" s="66" t="inlineStr">
        <is>
          <t>미제공 (포털직접)</t>
        </is>
      </c>
    </row>
    <row r="34">
      <c r="A34" s="66" t="n">
        <v>33</v>
      </c>
      <c r="B34" s="67" t="inlineStr">
        <is>
          <t>cloudflare</t>
        </is>
      </c>
      <c r="C34" s="67" t="inlineStr">
        <is>
          <t>Software Engineer - Intern (Summer 2027)</t>
        </is>
      </c>
      <c r="D34" s="67" t="inlineStr">
        <is>
          <t>Software Engineering</t>
        </is>
      </c>
      <c r="E34" s="67" t="n"/>
      <c r="F34" s="66" t="inlineStr">
        <is>
          <t>N/A</t>
        </is>
      </c>
      <c r="G34" s="66" t="inlineStr">
        <is>
          <t>Rolling / Unspecified</t>
        </is>
      </c>
      <c r="H34" s="66" t="inlineStr">
        <is>
          <t>미제공 (포털직접)</t>
        </is>
      </c>
    </row>
    <row r="35">
      <c r="A35" s="66" t="n">
        <v>34</v>
      </c>
      <c r="B35" s="67" t="inlineStr">
        <is>
          <t>arondite</t>
        </is>
      </c>
      <c r="C35" s="67" t="inlineStr">
        <is>
          <t>Software Engineer - Summer 2027 Intern</t>
        </is>
      </c>
      <c r="D35" s="67" t="inlineStr">
        <is>
          <t>Software Engineering</t>
        </is>
      </c>
      <c r="E35" s="67" t="n"/>
      <c r="F35" s="66" t="inlineStr">
        <is>
          <t>N/A</t>
        </is>
      </c>
      <c r="G35" s="66" t="inlineStr">
        <is>
          <t>Rolling / Unspecified</t>
        </is>
      </c>
      <c r="H35" s="66" t="inlineStr">
        <is>
          <t>미제공 (포털직접)</t>
        </is>
      </c>
    </row>
    <row r="36">
      <c r="A36" s="66" t="n">
        <v>35</v>
      </c>
      <c r="B36" s="67" t="inlineStr">
        <is>
          <t>crowdstrike</t>
        </is>
      </c>
      <c r="C36" s="67" t="inlineStr">
        <is>
          <t>Intern - Summer 2027</t>
        </is>
      </c>
      <c r="D36" s="67" t="inlineStr">
        <is>
          <t>Software Engineering</t>
        </is>
      </c>
      <c r="E36" s="67" t="n"/>
      <c r="F36" s="66" t="inlineStr">
        <is>
          <t>N/A</t>
        </is>
      </c>
      <c r="G36" s="66" t="inlineStr">
        <is>
          <t>Rolling / Unspecified</t>
        </is>
      </c>
      <c r="H36" s="66" t="inlineStr">
        <is>
          <t>미제공 (포털직접)</t>
        </is>
      </c>
    </row>
    <row r="37">
      <c r="A37" s="66" t="n">
        <v>36</v>
      </c>
      <c r="B37" s="67" t="inlineStr">
        <is>
          <t>arm</t>
        </is>
      </c>
      <c r="C37" s="67" t="inlineStr">
        <is>
          <t>Software Intern</t>
        </is>
      </c>
      <c r="D37" s="67" t="inlineStr">
        <is>
          <t>Software Engineering</t>
        </is>
      </c>
      <c r="E37" s="67" t="n"/>
      <c r="F37" s="66" t="inlineStr">
        <is>
          <t>N/A</t>
        </is>
      </c>
      <c r="G37" s="66" t="inlineStr">
        <is>
          <t>Rolling / Unspecified</t>
        </is>
      </c>
      <c r="H37" s="66" t="inlineStr">
        <is>
          <t>미제공 (포털직접)</t>
        </is>
      </c>
    </row>
    <row r="38">
      <c r="A38" s="66" t="n">
        <v>37</v>
      </c>
      <c r="B38" s="67" t="inlineStr">
        <is>
          <t>zurich-insurance</t>
        </is>
      </c>
      <c r="C38" s="67" t="inlineStr">
        <is>
          <t>Summer Internship 2027</t>
        </is>
      </c>
      <c r="D38" s="67" t="inlineStr">
        <is>
          <t>IT</t>
        </is>
      </c>
      <c r="E38" s="67" t="n"/>
      <c r="F38" s="66" t="inlineStr">
        <is>
          <t>N/A</t>
        </is>
      </c>
      <c r="G38" s="66" t="inlineStr">
        <is>
          <t>2026-10-18T00:00:00.000Z</t>
        </is>
      </c>
      <c r="H38" s="68" t="inlineStr">
        <is>
          <t>지원 링크 ↗</t>
        </is>
      </c>
    </row>
    <row r="39">
      <c r="A39" s="66" t="n">
        <v>38</v>
      </c>
      <c r="B39" s="67" t="inlineStr">
        <is>
          <t>rothesay</t>
        </is>
      </c>
      <c r="C39" s="67" t="inlineStr">
        <is>
          <t>Internship - Software Engineering</t>
        </is>
      </c>
      <c r="D39" s="67" t="inlineStr">
        <is>
          <t>Software Engineering</t>
        </is>
      </c>
      <c r="E39" s="67" t="n"/>
      <c r="F39" s="66" t="inlineStr">
        <is>
          <t>N/A</t>
        </is>
      </c>
      <c r="G39" s="66" t="inlineStr">
        <is>
          <t>Rolling / Unspecified</t>
        </is>
      </c>
      <c r="H39" s="66" t="inlineStr">
        <is>
          <t>미제공 (포털직접)</t>
        </is>
      </c>
    </row>
    <row r="40">
      <c r="A40" s="66" t="n">
        <v>39</v>
      </c>
      <c r="B40" s="67" t="inlineStr">
        <is>
          <t>bt</t>
        </is>
      </c>
      <c r="C40" s="67" t="inlineStr">
        <is>
          <t>Software Engineering Graduate</t>
        </is>
      </c>
      <c r="D40" s="67" t="inlineStr">
        <is>
          <t>Software Engineering</t>
        </is>
      </c>
      <c r="E40" s="67" t="n"/>
      <c r="F40" s="66" t="inlineStr">
        <is>
          <t>N/A</t>
        </is>
      </c>
      <c r="G40" s="66" t="inlineStr">
        <is>
          <t>Rolling / Unspecified</t>
        </is>
      </c>
      <c r="H40" s="66" t="inlineStr">
        <is>
          <t>미제공 (포털직접)</t>
        </is>
      </c>
    </row>
    <row r="41">
      <c r="A41" s="66" t="n">
        <v>40</v>
      </c>
      <c r="B41" s="67" t="inlineStr">
        <is>
          <t>aries-global</t>
        </is>
      </c>
      <c r="C41" s="67" t="inlineStr">
        <is>
          <t>Software Engineer Intern</t>
        </is>
      </c>
      <c r="D41" s="67" t="inlineStr">
        <is>
          <t>Software Engineering</t>
        </is>
      </c>
      <c r="E41" s="67" t="n"/>
      <c r="F41" s="66" t="inlineStr">
        <is>
          <t>N/A</t>
        </is>
      </c>
      <c r="G41" s="66" t="inlineStr">
        <is>
          <t>Rolling / Unspecified</t>
        </is>
      </c>
      <c r="H41" s="66" t="inlineStr">
        <is>
          <t>미제공 (포털직접)</t>
        </is>
      </c>
    </row>
    <row r="42">
      <c r="A42" s="66" t="n">
        <v>41</v>
      </c>
      <c r="B42" s="67" t="inlineStr">
        <is>
          <t>hsbc</t>
        </is>
      </c>
      <c r="C42" s="67" t="inlineStr">
        <is>
          <t>Quant Trading and Machine Learning Associate - Internship</t>
        </is>
      </c>
      <c r="D42" s="67" t="inlineStr">
        <is>
          <t>AI and Machine Learning</t>
        </is>
      </c>
      <c r="E42" s="67" t="n"/>
      <c r="F42" s="66" t="inlineStr">
        <is>
          <t>N/A</t>
        </is>
      </c>
      <c r="G42" s="66" t="inlineStr">
        <is>
          <t>Rolling / Unspecified</t>
        </is>
      </c>
      <c r="H42" s="66" t="inlineStr">
        <is>
          <t>미제공 (포털직접)</t>
        </is>
      </c>
    </row>
    <row r="43">
      <c r="A43" s="66" t="n">
        <v>42</v>
      </c>
      <c r="B43" s="67" t="inlineStr">
        <is>
          <t>houlihan-lokey</t>
        </is>
      </c>
      <c r="C43" s="67" t="inlineStr">
        <is>
          <t>IT Governance, Risk &amp; Cybersecurity Internship - Summer 2027</t>
        </is>
      </c>
      <c r="D43" s="67" t="inlineStr">
        <is>
          <t>IT, Cyber Security</t>
        </is>
      </c>
      <c r="E43" s="67" t="n"/>
      <c r="F43" s="66" t="inlineStr">
        <is>
          <t>N/A</t>
        </is>
      </c>
      <c r="G43" s="66" t="inlineStr">
        <is>
          <t>Rolling / Unspecified</t>
        </is>
      </c>
      <c r="H43" s="66" t="inlineStr">
        <is>
          <t>미제공 (포털직접)</t>
        </is>
      </c>
    </row>
    <row r="44">
      <c r="A44" s="66" t="n">
        <v>43</v>
      </c>
      <c r="B44" s="67" t="inlineStr">
        <is>
          <t>fti-consulting</t>
        </is>
      </c>
      <c r="C44" s="67" t="inlineStr">
        <is>
          <t>2027 Summer Internship</t>
        </is>
      </c>
      <c r="D44" s="67" t="inlineStr">
        <is>
          <t>Tech Consulting</t>
        </is>
      </c>
      <c r="E44" s="67" t="n"/>
      <c r="F44" s="66" t="inlineStr">
        <is>
          <t>N/A</t>
        </is>
      </c>
      <c r="G44" s="66" t="inlineStr">
        <is>
          <t>Rolling / Unspecified</t>
        </is>
      </c>
      <c r="H44" s="66" t="inlineStr">
        <is>
          <t>미제공 (포털직접)</t>
        </is>
      </c>
    </row>
    <row r="45">
      <c r="A45" s="66" t="n">
        <v>44</v>
      </c>
      <c r="B45" s="67" t="inlineStr">
        <is>
          <t>stmicroelectronics</t>
        </is>
      </c>
      <c r="C45" s="67" t="inlineStr">
        <is>
          <t>Intern - Machine Learning &amp; AI</t>
        </is>
      </c>
      <c r="D45" s="67" t="inlineStr">
        <is>
          <t>AI and Machine Learning</t>
        </is>
      </c>
      <c r="E45" s="67" t="n"/>
      <c r="F45" s="66" t="inlineStr">
        <is>
          <t>N/A</t>
        </is>
      </c>
      <c r="G45" s="66" t="inlineStr">
        <is>
          <t>Rolling / Unspecified</t>
        </is>
      </c>
      <c r="H45" s="66" t="inlineStr">
        <is>
          <t>미제공 (포털직접)</t>
        </is>
      </c>
    </row>
    <row r="46">
      <c r="A46" s="66" t="n">
        <v>45</v>
      </c>
      <c r="B46" s="67" t="inlineStr">
        <is>
          <t>clear-com</t>
        </is>
      </c>
      <c r="C46" s="67" t="inlineStr">
        <is>
          <t xml:space="preserve"> Software Engineering Intern</t>
        </is>
      </c>
      <c r="D46" s="67" t="inlineStr">
        <is>
          <t>Software Engineering</t>
        </is>
      </c>
      <c r="E46" s="67" t="n"/>
      <c r="F46" s="66" t="inlineStr">
        <is>
          <t>N/A</t>
        </is>
      </c>
      <c r="G46" s="66" t="inlineStr">
        <is>
          <t>Rolling / Unspecified</t>
        </is>
      </c>
      <c r="H46" s="66" t="inlineStr">
        <is>
          <t>미제공 (포털직접)</t>
        </is>
      </c>
    </row>
    <row r="47">
      <c r="A47" s="66" t="n">
        <v>46</v>
      </c>
      <c r="B47" s="67" t="inlineStr">
        <is>
          <t>brevan-howard</t>
        </is>
      </c>
      <c r="C47" s="67" t="inlineStr">
        <is>
          <t>2027 Summer Internship Programme – Artificial Intelligence &amp; Quant</t>
        </is>
      </c>
      <c r="D47" s="67" t="inlineStr">
        <is>
          <t>Quant Developer</t>
        </is>
      </c>
      <c r="E47" s="67" t="n"/>
      <c r="F47" s="66" t="inlineStr">
        <is>
          <t>N/A</t>
        </is>
      </c>
      <c r="G47" s="66" t="inlineStr">
        <is>
          <t>Rolling / Unspecified</t>
        </is>
      </c>
      <c r="H47" s="66" t="inlineStr">
        <is>
          <t>미제공 (포털직접)</t>
        </is>
      </c>
    </row>
    <row r="48">
      <c r="A48" s="66" t="n">
        <v>47</v>
      </c>
      <c r="B48" s="67" t="inlineStr">
        <is>
          <t>cambridge-associates</t>
        </is>
      </c>
      <c r="C48" s="67" t="inlineStr">
        <is>
          <t>Cybersecurity Intern</t>
        </is>
      </c>
      <c r="D48" s="67" t="inlineStr">
        <is>
          <t>Cyber Security</t>
        </is>
      </c>
      <c r="E48" s="67" t="n"/>
      <c r="F48" s="66" t="inlineStr">
        <is>
          <t>N/A</t>
        </is>
      </c>
      <c r="G48" s="66" t="inlineStr">
        <is>
          <t>Rolling / Unspecified</t>
        </is>
      </c>
      <c r="H48" s="66" t="inlineStr">
        <is>
          <t>미제공 (포털직접)</t>
        </is>
      </c>
    </row>
    <row r="49">
      <c r="A49" s="66" t="n">
        <v>48</v>
      </c>
      <c r="B49" s="67" t="inlineStr">
        <is>
          <t>mizuho</t>
        </is>
      </c>
      <c r="C49" s="67" t="inlineStr">
        <is>
          <t>2027 IT Developer Summer Internship</t>
        </is>
      </c>
      <c r="D49" s="67" t="inlineStr">
        <is>
          <t>IT</t>
        </is>
      </c>
      <c r="E49" s="67" t="n"/>
      <c r="F49" s="66" t="inlineStr">
        <is>
          <t>N/A</t>
        </is>
      </c>
      <c r="G49" s="66" t="inlineStr">
        <is>
          <t>2026-10-05T00:00:00.000Z</t>
        </is>
      </c>
      <c r="H49" s="68" t="inlineStr">
        <is>
          <t>지원 링크 ↗</t>
        </is>
      </c>
    </row>
    <row r="50">
      <c r="A50" s="66" t="n">
        <v>49</v>
      </c>
      <c r="B50" s="67" t="inlineStr">
        <is>
          <t>squarespace</t>
        </is>
      </c>
      <c r="C50" s="67" t="inlineStr">
        <is>
          <t>Software Engineering Intern - Summer 2027 (Dublin)</t>
        </is>
      </c>
      <c r="D50" s="67" t="inlineStr">
        <is>
          <t>Software Engineering</t>
        </is>
      </c>
      <c r="E50" s="67" t="n"/>
      <c r="F50" s="66" t="inlineStr">
        <is>
          <t>N/A</t>
        </is>
      </c>
      <c r="G50" s="66" t="inlineStr">
        <is>
          <t>Rolling / Unspecified</t>
        </is>
      </c>
      <c r="H50" s="66" t="inlineStr">
        <is>
          <t>미제공 (포털직접)</t>
        </is>
      </c>
    </row>
    <row r="51">
      <c r="A51" s="66" t="n">
        <v>50</v>
      </c>
      <c r="B51" s="67" t="inlineStr">
        <is>
          <t>oxford-nanopore-technologies</t>
        </is>
      </c>
      <c r="C51" s="67" t="inlineStr">
        <is>
          <t>Software Developer Intern</t>
        </is>
      </c>
      <c r="D51" s="67" t="inlineStr">
        <is>
          <t>Software Engineering</t>
        </is>
      </c>
      <c r="E51" s="67" t="n"/>
      <c r="F51" s="66" t="inlineStr">
        <is>
          <t>N/A</t>
        </is>
      </c>
      <c r="G51" s="66" t="inlineStr">
        <is>
          <t>Rolling / Unspecified</t>
        </is>
      </c>
      <c r="H51" s="66" t="inlineStr">
        <is>
          <t>미제공 (포털직접)</t>
        </is>
      </c>
    </row>
    <row r="52">
      <c r="A52" s="66" t="n">
        <v>51</v>
      </c>
      <c r="B52" s="67" t="inlineStr">
        <is>
          <t>cloudflare</t>
        </is>
      </c>
      <c r="C52" s="67" t="inlineStr">
        <is>
          <t>Security Engineer Intern</t>
        </is>
      </c>
      <c r="D52" s="67" t="inlineStr">
        <is>
          <t>Cyber Security</t>
        </is>
      </c>
      <c r="E52" s="67" t="n"/>
      <c r="F52" s="66" t="inlineStr">
        <is>
          <t>N/A</t>
        </is>
      </c>
      <c r="G52" s="66" t="inlineStr">
        <is>
          <t>Rolling / Unspecified</t>
        </is>
      </c>
      <c r="H52" s="66" t="inlineStr">
        <is>
          <t>미제공 (포털직접)</t>
        </is>
      </c>
    </row>
    <row r="53">
      <c r="A53" s="66" t="n">
        <v>52</v>
      </c>
      <c r="B53" s="67" t="inlineStr">
        <is>
          <t>harbor</t>
        </is>
      </c>
      <c r="C53" s="67" t="inlineStr">
        <is>
          <t>Summer Intern - Legal Technology + Operations</t>
        </is>
      </c>
      <c r="D53" s="67" t="inlineStr">
        <is>
          <t>DevOps and Infrastructure</t>
        </is>
      </c>
      <c r="E53" s="67" t="n"/>
      <c r="F53" s="66" t="inlineStr">
        <is>
          <t>N/A</t>
        </is>
      </c>
      <c r="G53" s="66" t="inlineStr">
        <is>
          <t>Rolling / Unspecified</t>
        </is>
      </c>
      <c r="H53" s="66" t="inlineStr">
        <is>
          <t>미제공 (포털직접)</t>
        </is>
      </c>
    </row>
    <row r="54">
      <c r="A54" s="66" t="n">
        <v>53</v>
      </c>
      <c r="B54" s="67" t="inlineStr">
        <is>
          <t>s-p-global</t>
        </is>
      </c>
      <c r="C54" s="67" t="inlineStr">
        <is>
          <t>Software Engineer Intern</t>
        </is>
      </c>
      <c r="D54" s="67" t="inlineStr">
        <is>
          <t>Software Engineering</t>
        </is>
      </c>
      <c r="E54" s="67" t="n"/>
      <c r="F54" s="66" t="inlineStr">
        <is>
          <t>N/A</t>
        </is>
      </c>
      <c r="G54" s="66" t="inlineStr">
        <is>
          <t>Rolling / Unspecified</t>
        </is>
      </c>
      <c r="H54" s="66" t="inlineStr">
        <is>
          <t>미제공 (포털직접)</t>
        </is>
      </c>
    </row>
    <row r="55">
      <c r="A55" s="66" t="n">
        <v>54</v>
      </c>
      <c r="B55" s="67" t="inlineStr">
        <is>
          <t>viasat</t>
        </is>
      </c>
      <c r="C55" s="67" t="inlineStr">
        <is>
          <t>Software Engineer Intern</t>
        </is>
      </c>
      <c r="D55" s="67" t="inlineStr">
        <is>
          <t>Software Engineering</t>
        </is>
      </c>
      <c r="E55" s="67" t="n"/>
      <c r="F55" s="66" t="inlineStr">
        <is>
          <t>N/A</t>
        </is>
      </c>
      <c r="G55" s="66" t="inlineStr">
        <is>
          <t>Rolling / Unspecified</t>
        </is>
      </c>
      <c r="H55" s="66" t="inlineStr">
        <is>
          <t>미제공 (포털직접)</t>
        </is>
      </c>
    </row>
    <row r="56">
      <c r="A56" s="66" t="n">
        <v>55</v>
      </c>
      <c r="B56" s="67" t="inlineStr">
        <is>
          <t>trayport</t>
        </is>
      </c>
      <c r="C56" s="67" t="inlineStr">
        <is>
          <t>Software Developer - Summer Intern</t>
        </is>
      </c>
      <c r="D56" s="67" t="inlineStr">
        <is>
          <t>Software Engineering</t>
        </is>
      </c>
      <c r="E56" s="67" t="n"/>
      <c r="F56" s="66" t="inlineStr">
        <is>
          <t>N/A</t>
        </is>
      </c>
      <c r="G56" s="66" t="inlineStr">
        <is>
          <t>Rolling / Unspecified</t>
        </is>
      </c>
      <c r="H56" s="66" t="inlineStr">
        <is>
          <t>미제공 (포털직접)</t>
        </is>
      </c>
    </row>
    <row r="57">
      <c r="A57" s="66" t="n">
        <v>56</v>
      </c>
      <c r="B57" s="67" t="inlineStr">
        <is>
          <t>balyasny-asset-management</t>
        </is>
      </c>
      <c r="C57" s="67" t="inlineStr">
        <is>
          <t>Software Engineering (Summer Internship)</t>
        </is>
      </c>
      <c r="D57" s="67" t="inlineStr">
        <is>
          <t>Software Engineering</t>
        </is>
      </c>
      <c r="E57" s="67" t="n"/>
      <c r="F57" s="66" t="inlineStr">
        <is>
          <t>N/A</t>
        </is>
      </c>
      <c r="G57" s="66" t="inlineStr">
        <is>
          <t>Rolling / Unspecified</t>
        </is>
      </c>
      <c r="H57" s="66" t="inlineStr">
        <is>
          <t>미제공 (포털직접)</t>
        </is>
      </c>
    </row>
    <row r="58">
      <c r="A58" s="66" t="n">
        <v>57</v>
      </c>
      <c r="B58" s="67" t="inlineStr">
        <is>
          <t>wise</t>
        </is>
      </c>
      <c r="C58" s="67" t="inlineStr">
        <is>
          <t>Analytics Intern</t>
        </is>
      </c>
      <c r="D58" s="67" t="inlineStr">
        <is>
          <t>Data Science</t>
        </is>
      </c>
      <c r="E58" s="67" t="n"/>
      <c r="F58" s="66" t="inlineStr">
        <is>
          <t>N/A</t>
        </is>
      </c>
      <c r="G58" s="66" t="inlineStr">
        <is>
          <t>Rolling / Unspecified</t>
        </is>
      </c>
      <c r="H58" s="66" t="inlineStr">
        <is>
          <t>미제공 (포털직접)</t>
        </is>
      </c>
    </row>
    <row r="59">
      <c r="A59" s="66" t="n">
        <v>58</v>
      </c>
      <c r="B59" s="67" t="inlineStr">
        <is>
          <t>amazon</t>
        </is>
      </c>
      <c r="C59" s="67" t="inlineStr">
        <is>
          <t>2027 Software Dev Engineer Intern</t>
        </is>
      </c>
      <c r="D59" s="67" t="inlineStr">
        <is>
          <t>Software Engineering</t>
        </is>
      </c>
      <c r="E59" s="67" t="n"/>
      <c r="F59" s="66" t="inlineStr">
        <is>
          <t>N/A</t>
        </is>
      </c>
      <c r="G59" s="66" t="inlineStr">
        <is>
          <t>Rolling / Unspecified</t>
        </is>
      </c>
      <c r="H59" s="66" t="inlineStr">
        <is>
          <t>미제공 (포털직접)</t>
        </is>
      </c>
    </row>
    <row r="60">
      <c r="A60" s="66" t="n">
        <v>59</v>
      </c>
      <c r="B60" s="67" t="inlineStr">
        <is>
          <t>pimco</t>
        </is>
      </c>
      <c r="C60" s="67" t="inlineStr">
        <is>
          <t>2027 Summer Intern - Software Engineering</t>
        </is>
      </c>
      <c r="D60" s="67" t="inlineStr">
        <is>
          <t>Software Engineering</t>
        </is>
      </c>
      <c r="E60" s="67" t="n"/>
      <c r="F60" s="66" t="inlineStr">
        <is>
          <t>N/A</t>
        </is>
      </c>
      <c r="G60" s="66" t="inlineStr">
        <is>
          <t>Rolling / Unspecified</t>
        </is>
      </c>
      <c r="H60" s="68" t="inlineStr">
        <is>
          <t>지원 링크 ↗</t>
        </is>
      </c>
    </row>
    <row r="61">
      <c r="A61" s="66" t="n">
        <v>60</v>
      </c>
      <c r="B61" s="67" t="inlineStr">
        <is>
          <t>jetbrains</t>
        </is>
      </c>
      <c r="C61" s="67" t="inlineStr">
        <is>
          <t>Internship Projects Summer/Fall 2027</t>
        </is>
      </c>
      <c r="D61" s="67" t="inlineStr">
        <is>
          <t>Software Engineering</t>
        </is>
      </c>
      <c r="E61" s="67" t="n"/>
      <c r="F61" s="66" t="inlineStr">
        <is>
          <t>N/A</t>
        </is>
      </c>
      <c r="G61" s="66" t="inlineStr">
        <is>
          <t>Rolling / Unspecified</t>
        </is>
      </c>
      <c r="H61" s="66" t="inlineStr">
        <is>
          <t>미제공 (포털직접)</t>
        </is>
      </c>
    </row>
    <row r="62">
      <c r="A62" s="66" t="n">
        <v>61</v>
      </c>
      <c r="B62" s="67" t="inlineStr">
        <is>
          <t>f5</t>
        </is>
      </c>
      <c r="C62" s="67" t="inlineStr">
        <is>
          <t>Software Engineering &amp; Data Science Internship 2027</t>
        </is>
      </c>
      <c r="D62" s="67" t="inlineStr">
        <is>
          <t>Software Engineering</t>
        </is>
      </c>
      <c r="E62" s="67" t="n"/>
      <c r="F62" s="66" t="inlineStr">
        <is>
          <t>N/A</t>
        </is>
      </c>
      <c r="G62" s="66" t="inlineStr">
        <is>
          <t>Rolling / Unspecified</t>
        </is>
      </c>
      <c r="H62" s="66" t="inlineStr">
        <is>
          <t>미제공 (포털직접)</t>
        </is>
      </c>
    </row>
    <row r="63">
      <c r="A63" s="66" t="n">
        <v>62</v>
      </c>
      <c r="B63" s="67" t="inlineStr">
        <is>
          <t>proxisense</t>
        </is>
      </c>
      <c r="C63" s="67" t="inlineStr">
        <is>
          <t>Software Engineer Intern</t>
        </is>
      </c>
      <c r="D63" s="67" t="inlineStr">
        <is>
          <t>Software Engineering</t>
        </is>
      </c>
      <c r="E63" s="67" t="n"/>
      <c r="F63" s="66" t="inlineStr">
        <is>
          <t>N/A</t>
        </is>
      </c>
      <c r="G63" s="66" t="inlineStr">
        <is>
          <t>Rolling / Unspecified</t>
        </is>
      </c>
      <c r="H63" s="66" t="inlineStr">
        <is>
          <t>미제공 (포털직접)</t>
        </is>
      </c>
    </row>
    <row r="64">
      <c r="A64" s="66" t="n">
        <v>63</v>
      </c>
      <c r="B64" s="67" t="inlineStr">
        <is>
          <t>morgan-stanley</t>
        </is>
      </c>
      <c r="C64" s="67" t="inlineStr">
        <is>
          <t>2027 Technology Summer Analyst Program</t>
        </is>
      </c>
      <c r="D64" s="67" t="inlineStr">
        <is>
          <t>Software Engineering</t>
        </is>
      </c>
      <c r="E64" s="67" t="n"/>
      <c r="F64" s="66" t="inlineStr">
        <is>
          <t>N/A</t>
        </is>
      </c>
      <c r="G64" s="66" t="inlineStr">
        <is>
          <t>Rolling / Unspecified</t>
        </is>
      </c>
      <c r="H64" s="68" t="inlineStr">
        <is>
          <t>지원 링크 ↗</t>
        </is>
      </c>
    </row>
    <row r="65">
      <c r="A65" s="66" t="n">
        <v>64</v>
      </c>
      <c r="B65" s="67" t="inlineStr">
        <is>
          <t>gic</t>
        </is>
      </c>
      <c r="C65" s="67" t="inlineStr">
        <is>
          <t>GIC Internship Programme 2027</t>
        </is>
      </c>
      <c r="D65" s="67" t="inlineStr">
        <is>
          <t>Software Engineering</t>
        </is>
      </c>
      <c r="E65" s="67" t="n"/>
      <c r="F65" s="66" t="inlineStr">
        <is>
          <t>N/A</t>
        </is>
      </c>
      <c r="G65" s="66" t="inlineStr">
        <is>
          <t>Rolling / Unspecified</t>
        </is>
      </c>
      <c r="H65" s="68" t="inlineStr">
        <is>
          <t>지원 링크 ↗</t>
        </is>
      </c>
    </row>
    <row r="66">
      <c r="A66" s="66" t="n">
        <v>65</v>
      </c>
      <c r="B66" s="67" t="inlineStr">
        <is>
          <t>baker-hughes</t>
        </is>
      </c>
      <c r="C66" s="67" t="inlineStr">
        <is>
          <t>Emerging Talent – Digital Technology Intern 2027</t>
        </is>
      </c>
      <c r="D66" s="67" t="inlineStr">
        <is>
          <t>Software Engineering</t>
        </is>
      </c>
      <c r="E66" s="67" t="n"/>
      <c r="F66" s="66" t="inlineStr">
        <is>
          <t>N/A</t>
        </is>
      </c>
      <c r="G66" s="66" t="inlineStr">
        <is>
          <t>Rolling / Unspecified</t>
        </is>
      </c>
      <c r="H66" s="66" t="inlineStr">
        <is>
          <t>미제공 (포털직접)</t>
        </is>
      </c>
    </row>
    <row r="67">
      <c r="A67" s="66" t="n">
        <v>66</v>
      </c>
      <c r="B67" s="67" t="inlineStr">
        <is>
          <t>riverlane</t>
        </is>
      </c>
      <c r="C67" s="67" t="inlineStr">
        <is>
          <t>Summer Internship 2027</t>
        </is>
      </c>
      <c r="D67" s="67" t="inlineStr">
        <is>
          <t>Software Engineering</t>
        </is>
      </c>
      <c r="E67" s="67" t="n"/>
      <c r="F67" s="66" t="inlineStr">
        <is>
          <t>N/A</t>
        </is>
      </c>
      <c r="G67" s="66" t="inlineStr">
        <is>
          <t>Rolling / Unspecified</t>
        </is>
      </c>
      <c r="H67" s="66" t="inlineStr">
        <is>
          <t>미제공 (포털직접)</t>
        </is>
      </c>
    </row>
    <row r="68">
      <c r="A68" s="66" t="n">
        <v>67</v>
      </c>
      <c r="B68" s="67" t="inlineStr">
        <is>
          <t>spotify</t>
        </is>
      </c>
      <c r="C68" s="67" t="inlineStr">
        <is>
          <t>2027 Summer Internship, Machine Learning Engineering</t>
        </is>
      </c>
      <c r="D68" s="67" t="inlineStr">
        <is>
          <t>AI and Machine Learning</t>
        </is>
      </c>
      <c r="E68" s="67" t="n"/>
      <c r="F68" s="66" t="inlineStr">
        <is>
          <t>N/A</t>
        </is>
      </c>
      <c r="G68" s="66" t="inlineStr">
        <is>
          <t>Rolling / Unspecified</t>
        </is>
      </c>
      <c r="H68" s="66" t="inlineStr">
        <is>
          <t>미제공 (포털직접)</t>
        </is>
      </c>
    </row>
    <row r="69">
      <c r="A69" s="66" t="n">
        <v>68</v>
      </c>
      <c r="B69" s="67" t="inlineStr">
        <is>
          <t>talos</t>
        </is>
      </c>
      <c r="C69" s="67" t="inlineStr">
        <is>
          <t>Software Engineer Intern, Trading</t>
        </is>
      </c>
      <c r="D69" s="67" t="inlineStr">
        <is>
          <t>Software Engineering, DevOps and Infrastructure</t>
        </is>
      </c>
      <c r="E69" s="67" t="n"/>
      <c r="F69" s="66" t="inlineStr">
        <is>
          <t>N/A</t>
        </is>
      </c>
      <c r="G69" s="66" t="inlineStr">
        <is>
          <t>Rolling / Unspecified</t>
        </is>
      </c>
      <c r="H69" s="68" t="inlineStr">
        <is>
          <t>지원 링크 ↗</t>
        </is>
      </c>
    </row>
    <row r="70">
      <c r="A70" s="66" t="n">
        <v>69</v>
      </c>
      <c r="B70" s="67" t="inlineStr">
        <is>
          <t>mastercard</t>
        </is>
      </c>
      <c r="C70" s="67" t="inlineStr">
        <is>
          <t>Software Engineering Intern, Summer 2027</t>
        </is>
      </c>
      <c r="D70" s="67" t="inlineStr">
        <is>
          <t>Software Engineering</t>
        </is>
      </c>
      <c r="E70" s="67" t="n"/>
      <c r="F70" s="66" t="inlineStr">
        <is>
          <t>N/A</t>
        </is>
      </c>
      <c r="G70" s="66" t="inlineStr">
        <is>
          <t>Rolling / Unspecified</t>
        </is>
      </c>
      <c r="H70" s="66" t="inlineStr">
        <is>
          <t>미제공 (포털직접)</t>
        </is>
      </c>
    </row>
    <row r="71">
      <c r="A71" s="66" t="n">
        <v>70</v>
      </c>
      <c r="B71" s="67" t="inlineStr">
        <is>
          <t>gallagher</t>
        </is>
      </c>
      <c r="C71" s="67" t="inlineStr">
        <is>
          <t>Cyber Security Internship - 8-Week Summer Placement</t>
        </is>
      </c>
      <c r="D71" s="67" t="inlineStr">
        <is>
          <t>Cyber Security</t>
        </is>
      </c>
      <c r="E71" s="67" t="n"/>
      <c r="F71" s="66" t="inlineStr">
        <is>
          <t>N/A</t>
        </is>
      </c>
      <c r="G71" s="66" t="inlineStr">
        <is>
          <t>Rolling / Unspecified</t>
        </is>
      </c>
      <c r="H71" s="66" t="inlineStr">
        <is>
          <t>미제공 (포털직접)</t>
        </is>
      </c>
    </row>
    <row r="72">
      <c r="A72" s="66" t="n">
        <v>71</v>
      </c>
      <c r="B72" s="67" t="inlineStr">
        <is>
          <t>deliveroo</t>
        </is>
      </c>
      <c r="C72" s="67" t="inlineStr">
        <is>
          <t>Software Engineer Intern</t>
        </is>
      </c>
      <c r="D72" s="67" t="inlineStr">
        <is>
          <t>Software Engineering</t>
        </is>
      </c>
      <c r="E72" s="67" t="n"/>
      <c r="F72" s="66" t="inlineStr">
        <is>
          <t>N/A</t>
        </is>
      </c>
      <c r="G72" s="66" t="inlineStr">
        <is>
          <t>Rolling / Unspecified</t>
        </is>
      </c>
      <c r="H72" s="66" t="inlineStr">
        <is>
          <t>미제공 (포털직접)</t>
        </is>
      </c>
    </row>
    <row r="73">
      <c r="A73" s="66" t="n">
        <v>72</v>
      </c>
      <c r="B73" s="67" t="inlineStr">
        <is>
          <t>susquehanna-international-group</t>
        </is>
      </c>
      <c r="C73" s="67" t="inlineStr">
        <is>
          <t>Software Development Internship: Summer 2027</t>
        </is>
      </c>
      <c r="D73" s="67" t="inlineStr">
        <is>
          <t>Quant Developer</t>
        </is>
      </c>
      <c r="E73" s="67" t="n"/>
      <c r="F73" s="66" t="inlineStr">
        <is>
          <t>N/A</t>
        </is>
      </c>
      <c r="G73" s="66" t="inlineStr">
        <is>
          <t>Rolling / Unspecified</t>
        </is>
      </c>
      <c r="H73" s="68" t="inlineStr">
        <is>
          <t>지원 링크 ↗</t>
        </is>
      </c>
    </row>
    <row r="74">
      <c r="A74" s="66" t="n">
        <v>73</v>
      </c>
      <c r="B74" s="67" t="inlineStr">
        <is>
          <t>roku</t>
        </is>
      </c>
      <c r="C74" s="67" t="inlineStr">
        <is>
          <t>Software Engineer Intern</t>
        </is>
      </c>
      <c r="D74" s="67" t="inlineStr">
        <is>
          <t>Software Engineering</t>
        </is>
      </c>
      <c r="E74" s="67" t="n"/>
      <c r="F74" s="66" t="inlineStr">
        <is>
          <t>N/A</t>
        </is>
      </c>
      <c r="G74" s="66" t="inlineStr">
        <is>
          <t>Rolling / Unspecified</t>
        </is>
      </c>
      <c r="H74" s="66" t="inlineStr">
        <is>
          <t>미제공 (포털직접)</t>
        </is>
      </c>
    </row>
    <row r="75">
      <c r="A75" s="66" t="n">
        <v>74</v>
      </c>
      <c r="B75" s="67" t="inlineStr">
        <is>
          <t>stripe</t>
        </is>
      </c>
      <c r="C75" s="67" t="inlineStr">
        <is>
          <t>Software Engineer, Intern</t>
        </is>
      </c>
      <c r="D75" s="67" t="inlineStr">
        <is>
          <t>Software Engineering</t>
        </is>
      </c>
      <c r="E75" s="67" t="n"/>
      <c r="F75" s="66" t="inlineStr">
        <is>
          <t>N/A</t>
        </is>
      </c>
      <c r="G75" s="66" t="inlineStr">
        <is>
          <t>Rolling / Unspecified</t>
        </is>
      </c>
      <c r="H75" s="68" t="inlineStr">
        <is>
          <t>지원 링크 ↗</t>
        </is>
      </c>
    </row>
    <row r="76">
      <c r="A76" s="66" t="n">
        <v>75</v>
      </c>
      <c r="B76" s="67" t="inlineStr">
        <is>
          <t>arctic-lake</t>
        </is>
      </c>
      <c r="C76" s="67" t="inlineStr">
        <is>
          <t>Software Engineer Intern</t>
        </is>
      </c>
      <c r="D76" s="67" t="inlineStr">
        <is>
          <t>Software Engineering</t>
        </is>
      </c>
      <c r="E76" s="67" t="n"/>
      <c r="F76" s="66" t="inlineStr">
        <is>
          <t>N/A</t>
        </is>
      </c>
      <c r="G76" s="66" t="inlineStr">
        <is>
          <t>Rolling / Unspecified</t>
        </is>
      </c>
      <c r="H76" s="68" t="inlineStr">
        <is>
          <t>지원 링크 ↗</t>
        </is>
      </c>
    </row>
    <row r="77">
      <c r="A77" s="66" t="n">
        <v>76</v>
      </c>
      <c r="B77" s="67" t="inlineStr">
        <is>
          <t>aveva</t>
        </is>
      </c>
      <c r="C77" s="67" t="inlineStr">
        <is>
          <t>Information Technology Intern</t>
        </is>
      </c>
      <c r="D77" s="67" t="inlineStr">
        <is>
          <t>IT</t>
        </is>
      </c>
      <c r="E77" s="67" t="n"/>
      <c r="F77" s="66" t="inlineStr">
        <is>
          <t>N/A</t>
        </is>
      </c>
      <c r="G77" s="66" t="inlineStr">
        <is>
          <t>Rolling / Unspecified</t>
        </is>
      </c>
      <c r="H77" s="66" t="inlineStr">
        <is>
          <t>미제공 (포털직접)</t>
        </is>
      </c>
    </row>
    <row r="78">
      <c r="A78" s="66" t="n">
        <v>77</v>
      </c>
      <c r="B78" s="67" t="inlineStr">
        <is>
          <t>precisely</t>
        </is>
      </c>
      <c r="C78" s="67" t="inlineStr">
        <is>
          <t>Cloud Engineering Intern</t>
        </is>
      </c>
      <c r="D78" s="67" t="inlineStr">
        <is>
          <t>DevOps and Infrastructure</t>
        </is>
      </c>
      <c r="E78" s="67" t="n"/>
      <c r="F78" s="66" t="inlineStr">
        <is>
          <t>N/A</t>
        </is>
      </c>
      <c r="G78" s="66" t="inlineStr">
        <is>
          <t>Rolling / Unspecified</t>
        </is>
      </c>
      <c r="H78" s="66" t="inlineStr">
        <is>
          <t>미제공 (포털직접)</t>
        </is>
      </c>
    </row>
    <row r="79">
      <c r="A79" s="66" t="n">
        <v>78</v>
      </c>
      <c r="B79" s="67" t="inlineStr">
        <is>
          <t>sportlight-technology</t>
        </is>
      </c>
      <c r="C79" s="67" t="inlineStr">
        <is>
          <t>Software Intern Role</t>
        </is>
      </c>
      <c r="D79" s="67" t="inlineStr">
        <is>
          <t>Software Engineering</t>
        </is>
      </c>
      <c r="E79" s="67" t="n"/>
      <c r="F79" s="66" t="inlineStr">
        <is>
          <t>N/A</t>
        </is>
      </c>
      <c r="G79" s="66" t="inlineStr">
        <is>
          <t>Rolling / Unspecified</t>
        </is>
      </c>
      <c r="H79" s="66" t="inlineStr">
        <is>
          <t>미제공 (포털직접)</t>
        </is>
      </c>
    </row>
    <row r="80">
      <c r="A80" s="66" t="n">
        <v>79</v>
      </c>
      <c r="B80" s="67" t="inlineStr">
        <is>
          <t>quantbot-technologies</t>
        </is>
      </c>
      <c r="C80" s="67" t="inlineStr">
        <is>
          <t>Data Trading Analyst Summer Internship - 2027</t>
        </is>
      </c>
      <c r="D80" s="67" t="inlineStr">
        <is>
          <t>Data Science</t>
        </is>
      </c>
      <c r="E80" s="67" t="n"/>
      <c r="F80" s="66" t="inlineStr">
        <is>
          <t>N/A</t>
        </is>
      </c>
      <c r="G80" s="66" t="inlineStr">
        <is>
          <t>Rolling / Unspecified</t>
        </is>
      </c>
      <c r="H80" s="68" t="inlineStr">
        <is>
          <t>지원 링크 ↗</t>
        </is>
      </c>
    </row>
    <row r="81">
      <c r="A81" s="66" t="n">
        <v>80</v>
      </c>
      <c r="B81" s="67" t="inlineStr">
        <is>
          <t>gresham-investment-management</t>
        </is>
      </c>
      <c r="C81" s="67" t="inlineStr">
        <is>
          <t>Quantitative Developer Summer Internship</t>
        </is>
      </c>
      <c r="D81" s="67" t="inlineStr">
        <is>
          <t>Quant Developer</t>
        </is>
      </c>
      <c r="E81" s="67" t="n"/>
      <c r="F81" s="66" t="inlineStr">
        <is>
          <t>N/A</t>
        </is>
      </c>
      <c r="G81" s="66" t="inlineStr">
        <is>
          <t>Rolling / Unspecified</t>
        </is>
      </c>
      <c r="H81" s="66" t="inlineStr">
        <is>
          <t>미제공 (포털직접)</t>
        </is>
      </c>
    </row>
    <row r="82">
      <c r="A82" s="66" t="n">
        <v>81</v>
      </c>
      <c r="B82" s="67" t="inlineStr">
        <is>
          <t>trainline</t>
        </is>
      </c>
      <c r="C82" s="67" t="inlineStr">
        <is>
          <t>Engineering Internship Summer 2027</t>
        </is>
      </c>
      <c r="D82" s="67" t="inlineStr">
        <is>
          <t>Software Engineering</t>
        </is>
      </c>
      <c r="E82" s="67" t="n"/>
      <c r="F82" s="66" t="inlineStr">
        <is>
          <t>N/A</t>
        </is>
      </c>
      <c r="G82" s="66" t="inlineStr">
        <is>
          <t>Rolling / Unspecified</t>
        </is>
      </c>
      <c r="H82" s="66" t="inlineStr">
        <is>
          <t>미제공 (포털직접)</t>
        </is>
      </c>
    </row>
    <row r="83">
      <c r="A83" s="66" t="n">
        <v>82</v>
      </c>
      <c r="B83" s="67" t="inlineStr">
        <is>
          <t>deliveroo</t>
        </is>
      </c>
      <c r="C83" s="67" t="inlineStr">
        <is>
          <t>Machine Learning Intern</t>
        </is>
      </c>
      <c r="D83" s="67" t="inlineStr">
        <is>
          <t>AI and Machine Learning</t>
        </is>
      </c>
      <c r="E83" s="67" t="n"/>
      <c r="F83" s="66" t="inlineStr">
        <is>
          <t>N/A</t>
        </is>
      </c>
      <c r="G83" s="66" t="inlineStr">
        <is>
          <t>Rolling / Unspecified</t>
        </is>
      </c>
      <c r="H83" s="66" t="inlineStr">
        <is>
          <t>미제공 (포털직접)</t>
        </is>
      </c>
    </row>
    <row r="84">
      <c r="A84" s="66" t="n">
        <v>83</v>
      </c>
      <c r="B84" s="67" t="inlineStr">
        <is>
          <t>lcp</t>
        </is>
      </c>
      <c r="C84" s="67" t="inlineStr">
        <is>
          <t>Technology - Summer Internship 2027</t>
        </is>
      </c>
      <c r="D84" s="67" t="inlineStr">
        <is>
          <t>Software Engineering</t>
        </is>
      </c>
      <c r="E84" s="67" t="n"/>
      <c r="F84" s="66" t="inlineStr">
        <is>
          <t>N/A</t>
        </is>
      </c>
      <c r="G84" s="66" t="inlineStr">
        <is>
          <t>Rolling / Unspecified</t>
        </is>
      </c>
      <c r="H84" s="66" t="inlineStr">
        <is>
          <t>미제공 (포털직접)</t>
        </is>
      </c>
    </row>
    <row r="85">
      <c r="A85" s="66" t="n">
        <v>84</v>
      </c>
      <c r="B85" s="67" t="inlineStr">
        <is>
          <t>hiscox</t>
        </is>
      </c>
      <c r="C85" s="67" t="inlineStr">
        <is>
          <t>2027 Summer Intern</t>
        </is>
      </c>
      <c r="D85" s="67" t="inlineStr">
        <is>
          <t>Software Engineering, Data Science</t>
        </is>
      </c>
      <c r="E85" s="67" t="n"/>
      <c r="F85" s="66" t="inlineStr">
        <is>
          <t>N/A</t>
        </is>
      </c>
      <c r="G85" s="66" t="inlineStr">
        <is>
          <t>Rolling / Unspecified</t>
        </is>
      </c>
      <c r="H85" s="66" t="inlineStr">
        <is>
          <t>미제공 (포털직접)</t>
        </is>
      </c>
    </row>
    <row r="86">
      <c r="A86" s="66" t="n">
        <v>85</v>
      </c>
      <c r="B86" s="67" t="inlineStr">
        <is>
          <t>j-p-morgan</t>
        </is>
      </c>
      <c r="C86" s="67" t="inlineStr">
        <is>
          <t>2027 Data &amp; AI - Summer Internship</t>
        </is>
      </c>
      <c r="D86" s="67" t="inlineStr">
        <is>
          <t>Software Engineering</t>
        </is>
      </c>
      <c r="E86" s="67" t="n"/>
      <c r="F86" s="66" t="inlineStr">
        <is>
          <t>N/A</t>
        </is>
      </c>
      <c r="G86" s="66" t="inlineStr">
        <is>
          <t>2026-11-01T00:00:00.000Z</t>
        </is>
      </c>
      <c r="H86" s="68" t="inlineStr">
        <is>
          <t>지원 링크 ↗</t>
        </is>
      </c>
    </row>
    <row r="87">
      <c r="A87" s="66" t="n">
        <v>86</v>
      </c>
      <c r="B87" s="67" t="inlineStr">
        <is>
          <t>qube-rt</t>
        </is>
      </c>
      <c r="C87" s="67" t="inlineStr">
        <is>
          <t>2027 - Internship, Software Engineering and Quantitative Development</t>
        </is>
      </c>
      <c r="D87" s="67" t="inlineStr">
        <is>
          <t>Software Engineering</t>
        </is>
      </c>
      <c r="E87" s="67" t="n"/>
      <c r="F87" s="66" t="inlineStr">
        <is>
          <t>N/A</t>
        </is>
      </c>
      <c r="G87" s="66" t="inlineStr">
        <is>
          <t>Rolling / Unspecified</t>
        </is>
      </c>
      <c r="H87" s="68" t="inlineStr">
        <is>
          <t>지원 링크 ↗</t>
        </is>
      </c>
    </row>
    <row r="88">
      <c r="A88" s="66" t="n">
        <v>87</v>
      </c>
      <c r="B88" s="67" t="inlineStr">
        <is>
          <t>helsing</t>
        </is>
      </c>
      <c r="C88" s="67" t="inlineStr">
        <is>
          <t>Software Engineer - Intern</t>
        </is>
      </c>
      <c r="D88" s="67" t="inlineStr">
        <is>
          <t>Software Engineering</t>
        </is>
      </c>
      <c r="E88" s="67" t="n"/>
      <c r="F88" s="66" t="inlineStr">
        <is>
          <t>N/A</t>
        </is>
      </c>
      <c r="G88" s="66" t="inlineStr">
        <is>
          <t>Rolling / Unspecified</t>
        </is>
      </c>
      <c r="H88" s="66" t="inlineStr">
        <is>
          <t>미제공 (포털직접)</t>
        </is>
      </c>
    </row>
    <row r="89">
      <c r="A89" s="66" t="n">
        <v>88</v>
      </c>
      <c r="B89" s="67" t="inlineStr">
        <is>
          <t>blocktech</t>
        </is>
      </c>
      <c r="C89" s="67" t="inlineStr">
        <is>
          <t>Software Engineer | Internship | Summer '27</t>
        </is>
      </c>
      <c r="D89" s="67" t="inlineStr">
        <is>
          <t>Quant Developer</t>
        </is>
      </c>
      <c r="E89" s="67" t="n"/>
      <c r="F89" s="66" t="inlineStr">
        <is>
          <t>N/A</t>
        </is>
      </c>
      <c r="G89" s="66" t="inlineStr">
        <is>
          <t>Rolling / Unspecified</t>
        </is>
      </c>
      <c r="H89" s="68" t="inlineStr">
        <is>
          <t>지원 링크 ↗</t>
        </is>
      </c>
    </row>
    <row r="90">
      <c r="A90" s="66" t="n">
        <v>89</v>
      </c>
      <c r="B90" s="67" t="inlineStr">
        <is>
          <t>ripple</t>
        </is>
      </c>
      <c r="C90" s="67" t="inlineStr">
        <is>
          <t>Software Engineer Intern (Summer)</t>
        </is>
      </c>
      <c r="D90" s="67" t="inlineStr">
        <is>
          <t>Software Engineering</t>
        </is>
      </c>
      <c r="E90" s="67" t="n"/>
      <c r="F90" s="66" t="inlineStr">
        <is>
          <t>N/A</t>
        </is>
      </c>
      <c r="G90" s="66" t="inlineStr">
        <is>
          <t>Rolling / Unspecified</t>
        </is>
      </c>
      <c r="H90" s="66" t="inlineStr">
        <is>
          <t>미제공 (포털직접)</t>
        </is>
      </c>
    </row>
    <row r="91">
      <c r="A91" s="66" t="n">
        <v>90</v>
      </c>
      <c r="B91" s="67" t="inlineStr">
        <is>
          <t>sparklayer</t>
        </is>
      </c>
      <c r="C91" s="67" t="inlineStr">
        <is>
          <t>Software Engineer (Summer Intern)</t>
        </is>
      </c>
      <c r="D91" s="67" t="inlineStr">
        <is>
          <t>Software Engineering</t>
        </is>
      </c>
      <c r="E91" s="67" t="n"/>
      <c r="F91" s="66" t="inlineStr">
        <is>
          <t>N/A</t>
        </is>
      </c>
      <c r="G91" s="66" t="inlineStr">
        <is>
          <t>Rolling / Unspecified</t>
        </is>
      </c>
      <c r="H91" s="66" t="inlineStr">
        <is>
          <t>미제공 (포털직접)</t>
        </is>
      </c>
    </row>
    <row r="92">
      <c r="A92" s="66" t="n">
        <v>91</v>
      </c>
      <c r="B92" s="67" t="inlineStr">
        <is>
          <t>bnp-paribas</t>
        </is>
      </c>
      <c r="C92" s="67" t="inlineStr">
        <is>
          <t>2027 Summer Internship - Technology</t>
        </is>
      </c>
      <c r="D92" s="67" t="inlineStr">
        <is>
          <t>Software Engineering</t>
        </is>
      </c>
      <c r="E92" s="67" t="n"/>
      <c r="F92" s="66" t="inlineStr">
        <is>
          <t>N/A</t>
        </is>
      </c>
      <c r="G92" s="66" t="inlineStr">
        <is>
          <t>2026-09-13T00:00:00.000Z</t>
        </is>
      </c>
      <c r="H92" s="68" t="inlineStr">
        <is>
          <t>지원 링크 ↗</t>
        </is>
      </c>
    </row>
    <row r="93">
      <c r="A93" s="66" t="n">
        <v>92</v>
      </c>
      <c r="B93" s="67" t="inlineStr">
        <is>
          <t>centrica</t>
        </is>
      </c>
      <c r="C93" s="67" t="inlineStr">
        <is>
          <t>Technology Summer Internship</t>
        </is>
      </c>
      <c r="D93" s="67" t="inlineStr">
        <is>
          <t>Software Engineering</t>
        </is>
      </c>
      <c r="E93" s="67" t="n"/>
      <c r="F93" s="66" t="inlineStr">
        <is>
          <t>N/A</t>
        </is>
      </c>
      <c r="G93" s="66" t="inlineStr">
        <is>
          <t>Rolling / Unspecified</t>
        </is>
      </c>
      <c r="H93" s="66" t="inlineStr">
        <is>
          <t>미제공 (포털직접)</t>
        </is>
      </c>
    </row>
    <row r="94">
      <c r="A94" s="66" t="n">
        <v>93</v>
      </c>
      <c r="B94" s="67" t="inlineStr">
        <is>
          <t>coinbase</t>
        </is>
      </c>
      <c r="C94" s="67" t="inlineStr">
        <is>
          <t>Software Engineer Intern</t>
        </is>
      </c>
      <c r="D94" s="67" t="inlineStr">
        <is>
          <t>Software Engineering</t>
        </is>
      </c>
      <c r="E94" s="67" t="n"/>
      <c r="F94" s="66" t="inlineStr">
        <is>
          <t>N/A</t>
        </is>
      </c>
      <c r="G94" s="66" t="inlineStr">
        <is>
          <t>Rolling / Unspecified</t>
        </is>
      </c>
      <c r="H94" s="66" t="inlineStr">
        <is>
          <t>미제공 (포털직접)</t>
        </is>
      </c>
    </row>
    <row r="95">
      <c r="A95" s="66" t="n">
        <v>94</v>
      </c>
      <c r="B95" s="67" t="inlineStr">
        <is>
          <t>visa</t>
        </is>
      </c>
      <c r="C95" s="67" t="inlineStr">
        <is>
          <t>Software Engineer Intern</t>
        </is>
      </c>
      <c r="D95" s="67" t="inlineStr">
        <is>
          <t>Software Engineering</t>
        </is>
      </c>
      <c r="E95" s="67" t="n"/>
      <c r="F95" s="66" t="inlineStr">
        <is>
          <t>N/A</t>
        </is>
      </c>
      <c r="G95" s="66" t="inlineStr">
        <is>
          <t>Rolling / Unspecified</t>
        </is>
      </c>
      <c r="H95" s="66" t="inlineStr">
        <is>
          <t>미제공 (포털직접)</t>
        </is>
      </c>
    </row>
    <row r="96">
      <c r="A96" s="66" t="n">
        <v>95</v>
      </c>
      <c r="B96" s="67" t="inlineStr">
        <is>
          <t>ashton-fire</t>
        </is>
      </c>
      <c r="C96" s="67" t="inlineStr">
        <is>
          <t>Intern Software Engineer (Summer 2027)</t>
        </is>
      </c>
      <c r="D96" s="67" t="inlineStr">
        <is>
          <t>Software Engineering</t>
        </is>
      </c>
      <c r="E96" s="67" t="n"/>
      <c r="F96" s="66" t="inlineStr">
        <is>
          <t>N/A</t>
        </is>
      </c>
      <c r="G96" s="66" t="inlineStr">
        <is>
          <t>Rolling / Unspecified</t>
        </is>
      </c>
      <c r="H96" s="66" t="inlineStr">
        <is>
          <t>미제공 (포털직접)</t>
        </is>
      </c>
    </row>
    <row r="97">
      <c r="A97" s="66" t="n">
        <v>96</v>
      </c>
      <c r="B97" s="67" t="inlineStr">
        <is>
          <t>legal-general</t>
        </is>
      </c>
      <c r="C97" s="67" t="inlineStr">
        <is>
          <t>Data Internship 2027</t>
        </is>
      </c>
      <c r="D97" s="67" t="inlineStr">
        <is>
          <t>Data Science</t>
        </is>
      </c>
      <c r="E97" s="67" t="n"/>
      <c r="F97" s="66" t="inlineStr">
        <is>
          <t>N/A</t>
        </is>
      </c>
      <c r="G97" s="66" t="inlineStr">
        <is>
          <t>Rolling / Unspecified</t>
        </is>
      </c>
      <c r="H97" s="66" t="inlineStr">
        <is>
          <t>미제공 (포털직접)</t>
        </is>
      </c>
    </row>
    <row r="98">
      <c r="A98" s="66" t="n">
        <v>97</v>
      </c>
      <c r="B98" s="67" t="inlineStr">
        <is>
          <t>willis-towers-watson</t>
        </is>
      </c>
      <c r="C98" s="67" t="inlineStr">
        <is>
          <t>2027 Software Developer Internship</t>
        </is>
      </c>
      <c r="D98" s="67" t="inlineStr">
        <is>
          <t>Software Engineering</t>
        </is>
      </c>
      <c r="E98" s="67" t="n"/>
      <c r="F98" s="66" t="inlineStr">
        <is>
          <t>N/A</t>
        </is>
      </c>
      <c r="G98" s="66" t="inlineStr">
        <is>
          <t>Rolling / Unspecified</t>
        </is>
      </c>
      <c r="H98" s="66" t="inlineStr">
        <is>
          <t>미제공 (포털직접)</t>
        </is>
      </c>
    </row>
    <row r="99">
      <c r="A99" s="66" t="n">
        <v>98</v>
      </c>
      <c r="B99" s="67" t="inlineStr">
        <is>
          <t>mongodb</t>
        </is>
      </c>
      <c r="C99" s="67" t="inlineStr">
        <is>
          <t>2027 - Software Engineering Intern, Dublin</t>
        </is>
      </c>
      <c r="D99" s="67" t="inlineStr">
        <is>
          <t>Software Engineering</t>
        </is>
      </c>
      <c r="E99" s="67" t="n"/>
      <c r="F99" s="66" t="inlineStr">
        <is>
          <t>N/A</t>
        </is>
      </c>
      <c r="G99" s="66" t="inlineStr">
        <is>
          <t>Rolling / Unspecified</t>
        </is>
      </c>
      <c r="H99" s="66" t="inlineStr">
        <is>
          <t>미제공 (포털직접)</t>
        </is>
      </c>
    </row>
    <row r="100">
      <c r="A100" s="66" t="n">
        <v>99</v>
      </c>
      <c r="B100" s="67" t="inlineStr">
        <is>
          <t>natwest-markets</t>
        </is>
      </c>
      <c r="C100" s="67" t="inlineStr">
        <is>
          <t>Engineering - Internship</t>
        </is>
      </c>
      <c r="D100" s="67" t="inlineStr">
        <is>
          <t>Software Engineering</t>
        </is>
      </c>
      <c r="E100" s="67" t="n"/>
      <c r="F100" s="66" t="inlineStr">
        <is>
          <t>N/A</t>
        </is>
      </c>
      <c r="G100" s="66" t="inlineStr">
        <is>
          <t>Rolling / Unspecified</t>
        </is>
      </c>
      <c r="H100" s="66" t="inlineStr">
        <is>
          <t>미제공 (포털직접)</t>
        </is>
      </c>
    </row>
    <row r="101">
      <c r="A101" s="66" t="n">
        <v>100</v>
      </c>
      <c r="B101" s="67" t="inlineStr">
        <is>
          <t>ebay</t>
        </is>
      </c>
      <c r="C101" s="67" t="inlineStr">
        <is>
          <t>SWE Intern, Dublin (6 months)</t>
        </is>
      </c>
      <c r="D101" s="67" t="inlineStr">
        <is>
          <t>Software Engineering</t>
        </is>
      </c>
      <c r="E101" s="67" t="n"/>
      <c r="F101" s="66" t="inlineStr">
        <is>
          <t>N/A</t>
        </is>
      </c>
      <c r="G101" s="66" t="inlineStr">
        <is>
          <t>Rolling / Unspecified</t>
        </is>
      </c>
      <c r="H101" s="66" t="inlineStr">
        <is>
          <t>미제공 (포털직접)</t>
        </is>
      </c>
    </row>
    <row r="102">
      <c r="A102" s="66" t="n">
        <v>101</v>
      </c>
      <c r="B102" s="67" t="inlineStr">
        <is>
          <t>bae-systems</t>
        </is>
      </c>
      <c r="C102" s="67" t="inlineStr">
        <is>
          <t>Summer Internship - Software Engineer</t>
        </is>
      </c>
      <c r="D102" s="67" t="inlineStr">
        <is>
          <t>Software Engineering</t>
        </is>
      </c>
      <c r="E102" s="67" t="n"/>
      <c r="F102" s="66" t="inlineStr">
        <is>
          <t>N/A</t>
        </is>
      </c>
      <c r="G102" s="66" t="inlineStr">
        <is>
          <t>Rolling / Unspecified</t>
        </is>
      </c>
      <c r="H102" s="66" t="inlineStr">
        <is>
          <t>미제공 (포털직접)</t>
        </is>
      </c>
    </row>
    <row r="103">
      <c r="A103" s="66" t="n">
        <v>102</v>
      </c>
      <c r="B103" s="67" t="inlineStr">
        <is>
          <t>amd</t>
        </is>
      </c>
      <c r="C103" s="67" t="inlineStr">
        <is>
          <t>Summer 2027 Software Engineer Intern</t>
        </is>
      </c>
      <c r="D103" s="67" t="inlineStr">
        <is>
          <t>Software Engineering</t>
        </is>
      </c>
      <c r="E103" s="67" t="n"/>
      <c r="F103" s="66" t="inlineStr">
        <is>
          <t>N/A</t>
        </is>
      </c>
      <c r="G103" s="66" t="inlineStr">
        <is>
          <t>Rolling / Unspecified</t>
        </is>
      </c>
      <c r="H103" s="66" t="inlineStr">
        <is>
          <t>미제공 (포털직접)</t>
        </is>
      </c>
    </row>
    <row r="104">
      <c r="A104" s="66" t="n">
        <v>103</v>
      </c>
      <c r="B104" s="67" t="inlineStr">
        <is>
          <t>confluent</t>
        </is>
      </c>
      <c r="C104" s="67" t="inlineStr">
        <is>
          <t>2027 Software Engineering Intern Opportunity</t>
        </is>
      </c>
      <c r="D104" s="67" t="inlineStr">
        <is>
          <t>Software Engineering</t>
        </is>
      </c>
      <c r="E104" s="67" t="n"/>
      <c r="F104" s="66" t="inlineStr">
        <is>
          <t>N/A</t>
        </is>
      </c>
      <c r="G104" s="66" t="inlineStr">
        <is>
          <t>Rolling / Unspecified</t>
        </is>
      </c>
      <c r="H104" s="66" t="inlineStr">
        <is>
          <t>미제공 (포털직접)</t>
        </is>
      </c>
    </row>
    <row r="105">
      <c r="A105" s="66" t="n">
        <v>104</v>
      </c>
      <c r="B105" s="67" t="inlineStr">
        <is>
          <t>baillie-gifford</t>
        </is>
      </c>
      <c r="C105" s="67" t="inlineStr">
        <is>
          <t>Cloud, Infrastructure &amp; Security Summer Internship 2027</t>
        </is>
      </c>
      <c r="D105" s="67" t="inlineStr">
        <is>
          <t>DevOps and Infrastructure, Software Engineering</t>
        </is>
      </c>
      <c r="E105" s="67" t="n"/>
      <c r="F105" s="66" t="inlineStr">
        <is>
          <t>N/A</t>
        </is>
      </c>
      <c r="G105" s="66" t="inlineStr">
        <is>
          <t>2026-11-03T00:00:00.000Z</t>
        </is>
      </c>
      <c r="H105" s="68" t="inlineStr">
        <is>
          <t>지원 링크 ↗</t>
        </is>
      </c>
    </row>
    <row r="106">
      <c r="A106" s="66" t="n">
        <v>105</v>
      </c>
      <c r="B106" s="67" t="inlineStr">
        <is>
          <t>pexip</t>
        </is>
      </c>
      <c r="C106" s="67" t="inlineStr">
        <is>
          <t>Software Engineer Interns - Internship Summer 2027</t>
        </is>
      </c>
      <c r="D106" s="67" t="inlineStr">
        <is>
          <t>Software Engineering</t>
        </is>
      </c>
      <c r="E106" s="67" t="n"/>
      <c r="F106" s="66" t="inlineStr">
        <is>
          <t>N/A</t>
        </is>
      </c>
      <c r="G106" s="66" t="inlineStr">
        <is>
          <t>Rolling / Unspecified</t>
        </is>
      </c>
      <c r="H106" s="66" t="inlineStr">
        <is>
          <t>미제공 (포털직접)</t>
        </is>
      </c>
    </row>
    <row r="107">
      <c r="A107" s="66" t="n">
        <v>106</v>
      </c>
      <c r="B107" s="67" t="inlineStr">
        <is>
          <t>gsk</t>
        </is>
      </c>
      <c r="C107" s="67" t="inlineStr">
        <is>
          <t>GSK Summer Internships 2027</t>
        </is>
      </c>
      <c r="D107" s="67" t="inlineStr">
        <is>
          <t>Miscellaneous</t>
        </is>
      </c>
      <c r="E107" s="67" t="n"/>
      <c r="F107" s="66" t="inlineStr">
        <is>
          <t>N/A</t>
        </is>
      </c>
      <c r="G107" s="66" t="inlineStr">
        <is>
          <t>Rolling / Unspecified</t>
        </is>
      </c>
      <c r="H107" s="66" t="inlineStr">
        <is>
          <t>미제공 (포털직접)</t>
        </is>
      </c>
    </row>
    <row r="108">
      <c r="A108" s="66" t="n">
        <v>107</v>
      </c>
      <c r="B108" s="67" t="inlineStr">
        <is>
          <t>mongodb</t>
        </is>
      </c>
      <c r="C108" s="67" t="inlineStr">
        <is>
          <t>2027 - Security Intern, Dublin</t>
        </is>
      </c>
      <c r="D108" s="67" t="inlineStr">
        <is>
          <t>Cyber Security</t>
        </is>
      </c>
      <c r="E108" s="67" t="n"/>
      <c r="F108" s="66" t="inlineStr">
        <is>
          <t>N/A</t>
        </is>
      </c>
      <c r="G108" s="66" t="inlineStr">
        <is>
          <t>Rolling / Unspecified</t>
        </is>
      </c>
      <c r="H108" s="66" t="inlineStr">
        <is>
          <t>미제공 (포털직접)</t>
        </is>
      </c>
    </row>
    <row r="109">
      <c r="A109" s="66" t="n">
        <v>108</v>
      </c>
      <c r="B109" s="67" t="inlineStr">
        <is>
          <t>stonex</t>
        </is>
      </c>
      <c r="C109" s="67" t="inlineStr">
        <is>
          <t>Intern - Developer (Front Office Metals)</t>
        </is>
      </c>
      <c r="D109" s="67" t="inlineStr">
        <is>
          <t>Software Engineering</t>
        </is>
      </c>
      <c r="E109" s="67" t="n"/>
      <c r="F109" s="66" t="inlineStr">
        <is>
          <t>N/A</t>
        </is>
      </c>
      <c r="G109" s="66" t="inlineStr">
        <is>
          <t>Rolling / Unspecified</t>
        </is>
      </c>
      <c r="H109" s="66" t="inlineStr">
        <is>
          <t>미제공 (포털직접)</t>
        </is>
      </c>
    </row>
    <row r="110">
      <c r="A110" s="66" t="n">
        <v>109</v>
      </c>
      <c r="B110" s="67" t="inlineStr">
        <is>
          <t>udemy</t>
        </is>
      </c>
      <c r="C110" s="67" t="inlineStr">
        <is>
          <t>Software Engineer Intern, Dublin</t>
        </is>
      </c>
      <c r="D110" s="67" t="inlineStr">
        <is>
          <t>Software Engineering</t>
        </is>
      </c>
      <c r="E110" s="67" t="n"/>
      <c r="F110" s="66" t="inlineStr">
        <is>
          <t>N/A</t>
        </is>
      </c>
      <c r="G110" s="66" t="inlineStr">
        <is>
          <t>Rolling / Unspecified</t>
        </is>
      </c>
      <c r="H110" s="66" t="inlineStr">
        <is>
          <t>미제공 (포털직접)</t>
        </is>
      </c>
    </row>
    <row r="111">
      <c r="A111" s="66" t="n">
        <v>110</v>
      </c>
      <c r="B111" s="67" t="inlineStr">
        <is>
          <t>capital-one</t>
        </is>
      </c>
      <c r="C111" s="67" t="inlineStr">
        <is>
          <t>Technology Summer Internship</t>
        </is>
      </c>
      <c r="D111" s="67" t="inlineStr">
        <is>
          <t>Software Engineering</t>
        </is>
      </c>
      <c r="E111" s="67" t="n"/>
      <c r="F111" s="66" t="inlineStr">
        <is>
          <t>N/A</t>
        </is>
      </c>
      <c r="G111" s="66" t="inlineStr">
        <is>
          <t>2026-09-07T00:00:00.000Z</t>
        </is>
      </c>
      <c r="H111" s="68" t="inlineStr">
        <is>
          <t>지원 링크 ↗</t>
        </is>
      </c>
    </row>
    <row r="112">
      <c r="A112" s="66" t="n">
        <v>111</v>
      </c>
      <c r="B112" s="67" t="inlineStr">
        <is>
          <t>red-bull</t>
        </is>
      </c>
      <c r="C112" s="67" t="inlineStr">
        <is>
          <t>Field Data Intern</t>
        </is>
      </c>
      <c r="D112" s="67" t="inlineStr">
        <is>
          <t>Data Science</t>
        </is>
      </c>
      <c r="E112" s="67" t="n"/>
      <c r="F112" s="66" t="inlineStr">
        <is>
          <t>N/A</t>
        </is>
      </c>
      <c r="G112" s="66" t="inlineStr">
        <is>
          <t>Rolling / Unspecified</t>
        </is>
      </c>
      <c r="H112" s="66" t="inlineStr">
        <is>
          <t>미제공 (포털직접)</t>
        </is>
      </c>
    </row>
    <row r="113">
      <c r="A113" s="66" t="n">
        <v>112</v>
      </c>
      <c r="B113" s="67" t="inlineStr">
        <is>
          <t>crowdstrike</t>
        </is>
      </c>
      <c r="C113" s="67" t="inlineStr">
        <is>
          <t>Red Team (Cyber Security) Intern 2027</t>
        </is>
      </c>
      <c r="D113" s="67" t="inlineStr">
        <is>
          <t>Cyber Security</t>
        </is>
      </c>
      <c r="E113" s="67" t="n"/>
      <c r="F113" s="66" t="inlineStr">
        <is>
          <t>N/A</t>
        </is>
      </c>
      <c r="G113" s="66" t="inlineStr">
        <is>
          <t>Rolling / Unspecified</t>
        </is>
      </c>
      <c r="H113" s="66" t="inlineStr">
        <is>
          <t>미제공 (포털직접)</t>
        </is>
      </c>
    </row>
    <row r="114">
      <c r="A114" s="66" t="n">
        <v>113</v>
      </c>
      <c r="B114" s="67" t="inlineStr">
        <is>
          <t>qualcomm</t>
        </is>
      </c>
      <c r="C114" s="67" t="inlineStr">
        <is>
          <t>FY27 Intern - Software Engineer</t>
        </is>
      </c>
      <c r="D114" s="67" t="inlineStr">
        <is>
          <t>Software Engineering</t>
        </is>
      </c>
      <c r="E114" s="67" t="n"/>
      <c r="F114" s="66" t="inlineStr">
        <is>
          <t>N/A</t>
        </is>
      </c>
      <c r="G114" s="66" t="inlineStr">
        <is>
          <t>Rolling / Unspecified</t>
        </is>
      </c>
      <c r="H114" s="66" t="inlineStr">
        <is>
          <t>미제공 (포털직접)</t>
        </is>
      </c>
    </row>
    <row r="115">
      <c r="A115" s="66" t="n">
        <v>114</v>
      </c>
      <c r="B115" s="67" t="inlineStr">
        <is>
          <t>google</t>
        </is>
      </c>
      <c r="C115" s="67" t="inlineStr">
        <is>
          <t>Software Engineering Intern, 2027</t>
        </is>
      </c>
      <c r="D115" s="67" t="inlineStr">
        <is>
          <t>Software Engineering</t>
        </is>
      </c>
      <c r="E115" s="67" t="n"/>
      <c r="F115" s="66" t="inlineStr">
        <is>
          <t>N/A</t>
        </is>
      </c>
      <c r="G115" s="66" t="inlineStr">
        <is>
          <t>2026-10-23T00:00:00.000Z</t>
        </is>
      </c>
      <c r="H115" s="68" t="inlineStr">
        <is>
          <t>지원 링크 ↗</t>
        </is>
      </c>
    </row>
    <row r="116">
      <c r="A116" s="66" t="n">
        <v>115</v>
      </c>
      <c r="B116" s="67" t="inlineStr">
        <is>
          <t>moloco</t>
        </is>
      </c>
      <c r="C116" s="67" t="inlineStr">
        <is>
          <t>Data Science Intern</t>
        </is>
      </c>
      <c r="D116" s="67" t="inlineStr">
        <is>
          <t>Data Science</t>
        </is>
      </c>
      <c r="E116" s="67" t="n"/>
      <c r="F116" s="66" t="inlineStr">
        <is>
          <t>N/A</t>
        </is>
      </c>
      <c r="G116" s="66" t="inlineStr">
        <is>
          <t>Rolling / Unspecified</t>
        </is>
      </c>
      <c r="H116" s="66" t="inlineStr">
        <is>
          <t>미제공 (포털직접)</t>
        </is>
      </c>
    </row>
    <row r="117">
      <c r="A117" s="66" t="n">
        <v>116</v>
      </c>
      <c r="B117" s="67" t="inlineStr">
        <is>
          <t>runna</t>
        </is>
      </c>
      <c r="C117" s="67" t="inlineStr">
        <is>
          <t>Data Engineer Intern</t>
        </is>
      </c>
      <c r="D117" s="67" t="inlineStr">
        <is>
          <t>Data Science</t>
        </is>
      </c>
      <c r="E117" s="67" t="n"/>
      <c r="F117" s="66" t="inlineStr">
        <is>
          <t>N/A</t>
        </is>
      </c>
      <c r="G117" s="66" t="inlineStr">
        <is>
          <t>Rolling / Unspecified</t>
        </is>
      </c>
      <c r="H117" s="66" t="inlineStr">
        <is>
          <t>미제공 (포털직접)</t>
        </is>
      </c>
    </row>
    <row r="118">
      <c r="A118" s="66" t="n">
        <v>117</v>
      </c>
      <c r="B118" s="67" t="inlineStr">
        <is>
          <t>palantir</t>
        </is>
      </c>
      <c r="C118" s="67" t="inlineStr">
        <is>
          <t>Software Engineer, Internship</t>
        </is>
      </c>
      <c r="D118" s="67" t="inlineStr">
        <is>
          <t>Software Engineering, DevOps and Infrastructure</t>
        </is>
      </c>
      <c r="E118" s="67" t="n"/>
      <c r="F118" s="66" t="inlineStr">
        <is>
          <t>N/A</t>
        </is>
      </c>
      <c r="G118" s="66" t="inlineStr">
        <is>
          <t>Rolling / Unspecified</t>
        </is>
      </c>
      <c r="H118" s="68" t="inlineStr">
        <is>
          <t>지원 링크 ↗</t>
        </is>
      </c>
    </row>
    <row r="119">
      <c r="A119" s="66" t="n">
        <v>118</v>
      </c>
      <c r="B119" s="67" t="inlineStr">
        <is>
          <t>blackstone</t>
        </is>
      </c>
      <c r="C119" s="67" t="inlineStr">
        <is>
          <t>2027 Software Engineer Summer Analyst</t>
        </is>
      </c>
      <c r="D119" s="67" t="inlineStr">
        <is>
          <t>Software Engineering</t>
        </is>
      </c>
      <c r="E119" s="67" t="n"/>
      <c r="F119" s="66" t="inlineStr">
        <is>
          <t>N/A</t>
        </is>
      </c>
      <c r="G119" s="66" t="inlineStr">
        <is>
          <t>2026-10-30T00:00:00.000Z</t>
        </is>
      </c>
      <c r="H119" s="68" t="inlineStr">
        <is>
          <t>지원 링크 ↗</t>
        </is>
      </c>
    </row>
    <row r="120">
      <c r="A120" s="66" t="n">
        <v>119</v>
      </c>
      <c r="B120" s="67" t="inlineStr">
        <is>
          <t>nfu-mutual</t>
        </is>
      </c>
      <c r="C120" s="67" t="inlineStr">
        <is>
          <t>IT Summer Internship Programme</t>
        </is>
      </c>
      <c r="D120" s="67" t="inlineStr">
        <is>
          <t>IT</t>
        </is>
      </c>
      <c r="E120" s="67" t="n"/>
      <c r="F120" s="66" t="inlineStr">
        <is>
          <t>N/A</t>
        </is>
      </c>
      <c r="G120" s="66" t="inlineStr">
        <is>
          <t>Rolling / Unspecified</t>
        </is>
      </c>
      <c r="H120" s="66" t="inlineStr">
        <is>
          <t>미제공 (포털직접)</t>
        </is>
      </c>
    </row>
    <row r="121">
      <c r="A121" s="66" t="n">
        <v>120</v>
      </c>
      <c r="B121" s="67" t="inlineStr">
        <is>
          <t>treefera</t>
        </is>
      </c>
      <c r="C121" s="67" t="inlineStr">
        <is>
          <t>Treefera Internship Programme</t>
        </is>
      </c>
      <c r="D121" s="67" t="inlineStr">
        <is>
          <t>AI and Machine Learning</t>
        </is>
      </c>
      <c r="E121" s="67" t="n"/>
      <c r="F121" s="66" t="inlineStr">
        <is>
          <t>N/A</t>
        </is>
      </c>
      <c r="G121" s="66" t="inlineStr">
        <is>
          <t>Rolling / Unspecified</t>
        </is>
      </c>
      <c r="H121" s="66" t="inlineStr">
        <is>
          <t>미제공 (포털직접)</t>
        </is>
      </c>
    </row>
    <row r="122">
      <c r="A122" s="66" t="n">
        <v>121</v>
      </c>
      <c r="B122" s="67" t="inlineStr">
        <is>
          <t>tradeweb</t>
        </is>
      </c>
      <c r="C122" s="67" t="inlineStr">
        <is>
          <t>Summer 2027 AI Engineering Internship</t>
        </is>
      </c>
      <c r="D122" s="67" t="inlineStr">
        <is>
          <t>AI and Machine Learning</t>
        </is>
      </c>
      <c r="E122" s="67" t="n"/>
      <c r="F122" s="66" t="inlineStr">
        <is>
          <t>N/A</t>
        </is>
      </c>
      <c r="G122" s="66" t="inlineStr">
        <is>
          <t>Rolling / Unspecified</t>
        </is>
      </c>
      <c r="H122" s="68" t="inlineStr">
        <is>
          <t>지원 링크 ↗</t>
        </is>
      </c>
    </row>
    <row r="123">
      <c r="A123" s="66" t="n">
        <v>122</v>
      </c>
      <c r="B123" s="67" t="inlineStr">
        <is>
          <t>fair-football-ai</t>
        </is>
      </c>
      <c r="C123" s="67" t="inlineStr">
        <is>
          <t>AI Football Analyst Intern</t>
        </is>
      </c>
      <c r="D123" s="67" t="inlineStr">
        <is>
          <t>AI and Machine Learning</t>
        </is>
      </c>
      <c r="E123" s="67" t="n"/>
      <c r="F123" s="66" t="inlineStr">
        <is>
          <t>N/A</t>
        </is>
      </c>
      <c r="G123" s="66" t="inlineStr">
        <is>
          <t>Rolling / Unspecified</t>
        </is>
      </c>
      <c r="H123" s="66" t="inlineStr">
        <is>
          <t>미제공 (포털직접)</t>
        </is>
      </c>
    </row>
    <row r="124">
      <c r="A124" s="66" t="n">
        <v>123</v>
      </c>
      <c r="B124" s="67" t="inlineStr">
        <is>
          <t>national-gas</t>
        </is>
      </c>
      <c r="C124" s="67" t="inlineStr">
        <is>
          <t>Cyber Security Internship</t>
        </is>
      </c>
      <c r="D124" s="67" t="inlineStr">
        <is>
          <t>Cyber Security</t>
        </is>
      </c>
      <c r="E124" s="67" t="n"/>
      <c r="F124" s="66" t="inlineStr">
        <is>
          <t>N/A</t>
        </is>
      </c>
      <c r="G124" s="66" t="inlineStr">
        <is>
          <t>Rolling / Unspecified</t>
        </is>
      </c>
      <c r="H124" s="66" t="inlineStr">
        <is>
          <t>미제공 (포털직접)</t>
        </is>
      </c>
    </row>
    <row r="125">
      <c r="A125" s="66" t="n">
        <v>124</v>
      </c>
      <c r="B125" s="67" t="inlineStr">
        <is>
          <t>hudson-river-trading</t>
        </is>
      </c>
      <c r="C125" s="67" t="inlineStr">
        <is>
          <t>Software Engineering Internship - Summer 2027</t>
        </is>
      </c>
      <c r="D125" s="67" t="inlineStr">
        <is>
          <t>Quant Developer</t>
        </is>
      </c>
      <c r="E125" s="67" t="n"/>
      <c r="F125" s="66" t="inlineStr">
        <is>
          <t>N/A</t>
        </is>
      </c>
      <c r="G125" s="66" t="inlineStr">
        <is>
          <t>Rolling / Unspecified</t>
        </is>
      </c>
      <c r="H125" s="68" t="inlineStr">
        <is>
          <t>지원 링크 ↗</t>
        </is>
      </c>
    </row>
    <row r="126">
      <c r="A126" s="66" t="n">
        <v>125</v>
      </c>
      <c r="B126" s="67" t="inlineStr">
        <is>
          <t>netcraft</t>
        </is>
      </c>
      <c r="C126" s="67" t="inlineStr">
        <is>
          <t>Software Engineering - Student Application</t>
        </is>
      </c>
      <c r="D126" s="67" t="inlineStr">
        <is>
          <t>Software Engineering</t>
        </is>
      </c>
      <c r="E126" s="67" t="n"/>
      <c r="F126" s="66" t="inlineStr">
        <is>
          <t>N/A</t>
        </is>
      </c>
      <c r="G126" s="66" t="inlineStr">
        <is>
          <t>Rolling / Unspecified</t>
        </is>
      </c>
      <c r="H126" s="66" t="inlineStr">
        <is>
          <t>미제공 (포털직접)</t>
        </is>
      </c>
    </row>
    <row r="127">
      <c r="A127" s="66" t="n">
        <v>126</v>
      </c>
      <c r="B127" s="67" t="inlineStr">
        <is>
          <t>quilter-cheviot</t>
        </is>
      </c>
      <c r="C127" s="67" t="inlineStr">
        <is>
          <t>Early Careers Programme - AI Summer Internship</t>
        </is>
      </c>
      <c r="D127" s="67" t="inlineStr">
        <is>
          <t>AI and Machine Learning</t>
        </is>
      </c>
      <c r="E127" s="67" t="n"/>
      <c r="F127" s="66" t="inlineStr">
        <is>
          <t>N/A</t>
        </is>
      </c>
      <c r="G127" s="66" t="inlineStr">
        <is>
          <t>Rolling / Unspecified</t>
        </is>
      </c>
      <c r="H127" s="66" t="inlineStr">
        <is>
          <t>미제공 (포털직접)</t>
        </is>
      </c>
    </row>
    <row r="128">
      <c r="A128" s="66" t="n">
        <v>127</v>
      </c>
      <c r="B128" s="67" t="inlineStr">
        <is>
          <t>millennium-management</t>
        </is>
      </c>
      <c r="C128" s="67" t="inlineStr">
        <is>
          <t>2027 Technology Collaboration Intern</t>
        </is>
      </c>
      <c r="D128" s="67" t="inlineStr">
        <is>
          <t>Software Engineering</t>
        </is>
      </c>
      <c r="E128" s="67" t="n"/>
      <c r="F128" s="66" t="inlineStr">
        <is>
          <t>N/A</t>
        </is>
      </c>
      <c r="G128" s="66" t="inlineStr">
        <is>
          <t>Rolling / Unspecified</t>
        </is>
      </c>
      <c r="H128" s="68" t="inlineStr">
        <is>
          <t>지원 링크 ↗</t>
        </is>
      </c>
    </row>
    <row r="129">
      <c r="A129" s="66" t="n">
        <v>128</v>
      </c>
      <c r="B129" s="67" t="inlineStr">
        <is>
          <t>maven-securities</t>
        </is>
      </c>
      <c r="C129" s="67" t="inlineStr">
        <is>
          <t>Software Developer Summer Internship 2027</t>
        </is>
      </c>
      <c r="D129" s="67" t="inlineStr">
        <is>
          <t>Quant Developer</t>
        </is>
      </c>
      <c r="E129" s="67" t="n"/>
      <c r="F129" s="66" t="inlineStr">
        <is>
          <t>N/A</t>
        </is>
      </c>
      <c r="G129" s="66" t="inlineStr">
        <is>
          <t>2026-10-21T00:00:00.000Z</t>
        </is>
      </c>
      <c r="H129" s="68" t="inlineStr">
        <is>
          <t>지원 링크 ↗</t>
        </is>
      </c>
    </row>
    <row r="130">
      <c r="A130" s="66" t="n">
        <v>129</v>
      </c>
      <c r="B130" s="67" t="inlineStr">
        <is>
          <t>tower-research-capital</t>
        </is>
      </c>
      <c r="C130" s="67" t="inlineStr">
        <is>
          <t>Software Developer Intern (Summer 2027)</t>
        </is>
      </c>
      <c r="D130" s="67" t="inlineStr">
        <is>
          <t>Quant Developer</t>
        </is>
      </c>
      <c r="E130" s="67" t="n"/>
      <c r="F130" s="66" t="inlineStr">
        <is>
          <t>N/A</t>
        </is>
      </c>
      <c r="G130" s="66" t="inlineStr">
        <is>
          <t>Rolling / Unspecified</t>
        </is>
      </c>
      <c r="H130" s="66" t="inlineStr">
        <is>
          <t>미제공 (포털직접)</t>
        </is>
      </c>
    </row>
    <row r="131">
      <c r="A131" s="66" t="n">
        <v>130</v>
      </c>
      <c r="B131" s="67" t="inlineStr">
        <is>
          <t>nvidia</t>
        </is>
      </c>
      <c r="C131" s="67" t="inlineStr">
        <is>
          <t>Software Engineering Intern, Networking Software</t>
        </is>
      </c>
      <c r="D131" s="67" t="inlineStr">
        <is>
          <t>Software Engineering</t>
        </is>
      </c>
      <c r="E131" s="67" t="n"/>
      <c r="F131" s="66" t="inlineStr">
        <is>
          <t>N/A</t>
        </is>
      </c>
      <c r="G131" s="66" t="inlineStr">
        <is>
          <t>Rolling / Unspecified</t>
        </is>
      </c>
      <c r="H131" s="66" t="inlineStr">
        <is>
          <t>미제공 (포털직접)</t>
        </is>
      </c>
    </row>
    <row r="132">
      <c r="A132" s="66" t="n">
        <v>131</v>
      </c>
      <c r="B132" s="67" t="inlineStr">
        <is>
          <t>monzo</t>
        </is>
      </c>
      <c r="C132" s="67" t="inlineStr">
        <is>
          <t>Software Engineering Internship (Summer 2027)</t>
        </is>
      </c>
      <c r="D132" s="67" t="inlineStr">
        <is>
          <t>Software Engineering</t>
        </is>
      </c>
      <c r="E132" s="67" t="n"/>
      <c r="F132" s="66" t="inlineStr">
        <is>
          <t>N/A</t>
        </is>
      </c>
      <c r="G132" s="66" t="inlineStr">
        <is>
          <t>Rolling / Unspecified</t>
        </is>
      </c>
      <c r="H132" s="66" t="inlineStr">
        <is>
          <t>미제공 (포털직접)</t>
        </is>
      </c>
    </row>
    <row r="133">
      <c r="A133" s="66" t="n">
        <v>132</v>
      </c>
      <c r="B133" s="67" t="inlineStr">
        <is>
          <t>allianz-insurance</t>
        </is>
      </c>
      <c r="C133" s="67" t="inlineStr">
        <is>
          <t>Summer Intern 2027</t>
        </is>
      </c>
      <c r="D133" s="67" t="inlineStr">
        <is>
          <t>Data Science</t>
        </is>
      </c>
      <c r="E133" s="67" t="n"/>
      <c r="F133" s="66" t="inlineStr">
        <is>
          <t>N/A</t>
        </is>
      </c>
      <c r="G133" s="66" t="inlineStr">
        <is>
          <t>Rolling / Unspecified</t>
        </is>
      </c>
      <c r="H133" s="66" t="inlineStr">
        <is>
          <t>미제공 (포털직접)</t>
        </is>
      </c>
    </row>
    <row r="134">
      <c r="A134" s="66" t="n">
        <v>133</v>
      </c>
      <c r="B134" s="67" t="inlineStr">
        <is>
          <t>police-scotland</t>
        </is>
      </c>
      <c r="C134" s="67" t="inlineStr">
        <is>
          <t>Graduate Programme - Graduate Developer</t>
        </is>
      </c>
      <c r="D134" s="67" t="inlineStr">
        <is>
          <t>Software Engineering</t>
        </is>
      </c>
      <c r="E134" s="67" t="n"/>
      <c r="F134" s="66" t="inlineStr">
        <is>
          <t>N/A</t>
        </is>
      </c>
      <c r="G134" s="66" t="inlineStr">
        <is>
          <t>Rolling / Unspecified</t>
        </is>
      </c>
      <c r="H134" s="66" t="inlineStr">
        <is>
          <t>미제공 (포털직접)</t>
        </is>
      </c>
    </row>
    <row r="135">
      <c r="A135" s="66" t="n">
        <v>134</v>
      </c>
      <c r="B135" s="67" t="inlineStr">
        <is>
          <t>blackrock</t>
        </is>
      </c>
      <c r="C135" s="67" t="inlineStr">
        <is>
          <t>2027 Summer Internship Program</t>
        </is>
      </c>
      <c r="D135" s="67" t="inlineStr">
        <is>
          <t>Software Engineering</t>
        </is>
      </c>
      <c r="E135" s="67" t="n"/>
      <c r="F135" s="66" t="inlineStr">
        <is>
          <t>N/A</t>
        </is>
      </c>
      <c r="G135" s="66" t="inlineStr">
        <is>
          <t>2026-09-30T00:00:00.000Z</t>
        </is>
      </c>
      <c r="H135" s="68" t="inlineStr">
        <is>
          <t>지원 링크 ↗</t>
        </is>
      </c>
    </row>
    <row r="136">
      <c r="A136" s="66" t="n">
        <v>135</v>
      </c>
      <c r="B136" s="67" t="inlineStr">
        <is>
          <t>factset</t>
        </is>
      </c>
      <c r="C136" s="67" t="inlineStr">
        <is>
          <t>Engineering Internship - Summer 2027</t>
        </is>
      </c>
      <c r="D136" s="67" t="inlineStr">
        <is>
          <t>Software Engineering</t>
        </is>
      </c>
      <c r="E136" s="67" t="n"/>
      <c r="F136" s="66" t="inlineStr">
        <is>
          <t>N/A</t>
        </is>
      </c>
      <c r="G136" s="66" t="inlineStr">
        <is>
          <t>Rolling / Unspecified</t>
        </is>
      </c>
      <c r="H136" s="66" t="inlineStr">
        <is>
          <t>미제공 (포털직접)</t>
        </is>
      </c>
    </row>
    <row r="137">
      <c r="A137" s="66" t="n">
        <v>136</v>
      </c>
      <c r="B137" s="67" t="inlineStr">
        <is>
          <t>ithaca-energy</t>
        </is>
      </c>
      <c r="C137" s="67" t="inlineStr">
        <is>
          <t>Data Science Intern</t>
        </is>
      </c>
      <c r="D137" s="67" t="inlineStr">
        <is>
          <t>Data Science</t>
        </is>
      </c>
      <c r="E137" s="67" t="n"/>
      <c r="F137" s="66" t="inlineStr">
        <is>
          <t>N/A</t>
        </is>
      </c>
      <c r="G137" s="66" t="inlineStr">
        <is>
          <t>Rolling / Unspecified</t>
        </is>
      </c>
      <c r="H137" s="66" t="inlineStr">
        <is>
          <t>미제공 (포털직접)</t>
        </is>
      </c>
    </row>
    <row r="138">
      <c r="A138" s="66" t="n">
        <v>137</v>
      </c>
      <c r="B138" s="67" t="inlineStr">
        <is>
          <t>legal-general</t>
        </is>
      </c>
      <c r="C138" s="67" t="inlineStr">
        <is>
          <t>OneTech Services Intern 2027</t>
        </is>
      </c>
      <c r="D138" s="67" t="inlineStr">
        <is>
          <t>DevOps and Infrastructure</t>
        </is>
      </c>
      <c r="E138" s="67" t="n"/>
      <c r="F138" s="66" t="inlineStr">
        <is>
          <t>N/A</t>
        </is>
      </c>
      <c r="G138" s="66" t="inlineStr">
        <is>
          <t>Rolling / Unspecified</t>
        </is>
      </c>
      <c r="H138" s="66" t="inlineStr">
        <is>
          <t>미제공 (포털직접)</t>
        </is>
      </c>
    </row>
    <row r="139">
      <c r="A139" s="66" t="n">
        <v>138</v>
      </c>
      <c r="B139" s="67" t="inlineStr">
        <is>
          <t>talos</t>
        </is>
      </c>
      <c r="C139" s="67" t="inlineStr">
        <is>
          <t>Software Engineer Intern, Infrastructure</t>
        </is>
      </c>
      <c r="D139" s="67" t="inlineStr">
        <is>
          <t>Software Engineering, DevOps and Infrastructure</t>
        </is>
      </c>
      <c r="E139" s="67" t="n"/>
      <c r="F139" s="66" t="inlineStr">
        <is>
          <t>N/A</t>
        </is>
      </c>
      <c r="G139" s="66" t="inlineStr">
        <is>
          <t>Rolling / Unspecified</t>
        </is>
      </c>
      <c r="H139" s="68" t="inlineStr">
        <is>
          <t>지원 링크 ↗</t>
        </is>
      </c>
    </row>
    <row r="140">
      <c r="A140" s="66" t="n">
        <v>139</v>
      </c>
      <c r="B140" s="67" t="inlineStr">
        <is>
          <t>dv-trading</t>
        </is>
      </c>
      <c r="C140" s="67" t="inlineStr">
        <is>
          <t>Software Engineer Intern - Summer 2027</t>
        </is>
      </c>
      <c r="D140" s="67" t="inlineStr">
        <is>
          <t>Quant Developer</t>
        </is>
      </c>
      <c r="E140" s="67" t="n"/>
      <c r="F140" s="66" t="inlineStr">
        <is>
          <t>N/A</t>
        </is>
      </c>
      <c r="G140" s="66" t="inlineStr">
        <is>
          <t>Rolling / Unspecified</t>
        </is>
      </c>
      <c r="H140" s="68" t="inlineStr">
        <is>
          <t>지원 링크 ↗</t>
        </is>
      </c>
    </row>
    <row r="141">
      <c r="A141" s="66" t="n">
        <v>140</v>
      </c>
      <c r="B141" s="67" t="inlineStr">
        <is>
          <t>aries-global</t>
        </is>
      </c>
      <c r="C141" s="67" t="inlineStr">
        <is>
          <t>Data Intern</t>
        </is>
      </c>
      <c r="D141" s="67" t="inlineStr">
        <is>
          <t>Data Science</t>
        </is>
      </c>
      <c r="E141" s="67" t="n"/>
      <c r="F141" s="66" t="inlineStr">
        <is>
          <t>N/A</t>
        </is>
      </c>
      <c r="G141" s="66" t="inlineStr">
        <is>
          <t>Rolling / Unspecified</t>
        </is>
      </c>
      <c r="H141" s="66" t="inlineStr">
        <is>
          <t>미제공 (포털직접)</t>
        </is>
      </c>
    </row>
    <row r="142">
      <c r="A142" s="66" t="n">
        <v>141</v>
      </c>
      <c r="B142" s="67" t="inlineStr">
        <is>
          <t>climate-policy-initiative</t>
        </is>
      </c>
      <c r="C142" s="67" t="inlineStr">
        <is>
          <t>Data Science Intern</t>
        </is>
      </c>
      <c r="D142" s="67" t="inlineStr">
        <is>
          <t>Data Science</t>
        </is>
      </c>
      <c r="E142" s="67" t="n"/>
      <c r="F142" s="66" t="inlineStr">
        <is>
          <t>N/A</t>
        </is>
      </c>
      <c r="G142" s="66" t="inlineStr">
        <is>
          <t>Rolling / Unspecified</t>
        </is>
      </c>
      <c r="H142" s="66" t="inlineStr">
        <is>
          <t>미제공 (포털직접)</t>
        </is>
      </c>
    </row>
    <row r="143">
      <c r="A143" s="66" t="n">
        <v>142</v>
      </c>
      <c r="B143" s="67" t="inlineStr">
        <is>
          <t>jefferies</t>
        </is>
      </c>
      <c r="C143" s="67" t="inlineStr">
        <is>
          <t>2027 Information Technology Summer Internship Programme</t>
        </is>
      </c>
      <c r="D143" s="67" t="inlineStr">
        <is>
          <t>IT</t>
        </is>
      </c>
      <c r="E143" s="67" t="n"/>
      <c r="F143" s="66" t="inlineStr">
        <is>
          <t>N/A</t>
        </is>
      </c>
      <c r="G143" s="66" t="inlineStr">
        <is>
          <t>2026-11-15T00:00:00.000Z</t>
        </is>
      </c>
      <c r="H143" s="68" t="inlineStr">
        <is>
          <t>지원 링크 ↗</t>
        </is>
      </c>
    </row>
    <row r="144">
      <c r="A144" s="66" t="n">
        <v>143</v>
      </c>
      <c r="B144" s="67" t="inlineStr">
        <is>
          <t>giant-ventures</t>
        </is>
      </c>
      <c r="C144" s="67" t="inlineStr">
        <is>
          <t>Software Engineering Intern</t>
        </is>
      </c>
      <c r="D144" s="67" t="inlineStr">
        <is>
          <t>Software Engineering</t>
        </is>
      </c>
      <c r="E144" s="67" t="n"/>
      <c r="F144" s="66" t="inlineStr">
        <is>
          <t>N/A</t>
        </is>
      </c>
      <c r="G144" s="66" t="inlineStr">
        <is>
          <t>Rolling / Unspecified</t>
        </is>
      </c>
      <c r="H144" s="66" t="inlineStr">
        <is>
          <t>미제공 (포털직접)</t>
        </is>
      </c>
    </row>
    <row r="145">
      <c r="A145" s="66" t="n">
        <v>144</v>
      </c>
      <c r="B145" s="67" t="inlineStr">
        <is>
          <t>tesco</t>
        </is>
      </c>
      <c r="C145" s="67" t="inlineStr">
        <is>
          <t>Technology Internship</t>
        </is>
      </c>
      <c r="D145" s="67" t="inlineStr">
        <is>
          <t>Software Engineering</t>
        </is>
      </c>
      <c r="E145" s="67" t="n"/>
      <c r="F145" s="66" t="inlineStr">
        <is>
          <t>N/A</t>
        </is>
      </c>
      <c r="G145" s="66" t="inlineStr">
        <is>
          <t>Rolling / Unspecified</t>
        </is>
      </c>
      <c r="H145" s="66" t="inlineStr">
        <is>
          <t>미제공 (포털직접)</t>
        </is>
      </c>
    </row>
    <row r="146">
      <c r="A146" s="66" t="n">
        <v>145</v>
      </c>
      <c r="B146" s="67" t="inlineStr">
        <is>
          <t>quantum-dice</t>
        </is>
      </c>
      <c r="C146" s="67" t="inlineStr">
        <is>
          <t>Summer Internship Programme</t>
        </is>
      </c>
      <c r="D146" s="67" t="inlineStr">
        <is>
          <t>AI and Machine Learning</t>
        </is>
      </c>
      <c r="E146" s="67" t="n"/>
      <c r="F146" s="66" t="inlineStr">
        <is>
          <t>N/A</t>
        </is>
      </c>
      <c r="G146" s="66" t="inlineStr">
        <is>
          <t>Rolling / Unspecified</t>
        </is>
      </c>
      <c r="H146" s="66" t="inlineStr">
        <is>
          <t>미제공 (포털직접)</t>
        </is>
      </c>
    </row>
    <row r="147">
      <c r="A147" s="66" t="n">
        <v>146</v>
      </c>
      <c r="B147" s="67" t="inlineStr">
        <is>
          <t>oaknorth</t>
        </is>
      </c>
      <c r="C147" s="67" t="inlineStr">
        <is>
          <t>AI Innovation Intern</t>
        </is>
      </c>
      <c r="D147" s="67" t="inlineStr">
        <is>
          <t>AI and Machine Learning</t>
        </is>
      </c>
      <c r="E147" s="67" t="n"/>
      <c r="F147" s="66" t="inlineStr">
        <is>
          <t>N/A</t>
        </is>
      </c>
      <c r="G147" s="66" t="inlineStr">
        <is>
          <t>Rolling / Unspecified</t>
        </is>
      </c>
      <c r="H147" s="66" t="inlineStr">
        <is>
          <t>미제공 (포털직접)</t>
        </is>
      </c>
    </row>
    <row r="148">
      <c r="A148" s="66" t="n">
        <v>147</v>
      </c>
      <c r="B148" s="67" t="inlineStr">
        <is>
          <t>macquarie-group</t>
        </is>
      </c>
      <c r="C148" s="67" t="inlineStr">
        <is>
          <t>2027 Summer Internship Programme</t>
        </is>
      </c>
      <c r="D148" s="67" t="inlineStr">
        <is>
          <t>Software Engineering</t>
        </is>
      </c>
      <c r="E148" s="67" t="n"/>
      <c r="F148" s="66" t="inlineStr">
        <is>
          <t>N/A</t>
        </is>
      </c>
      <c r="G148" s="66" t="inlineStr">
        <is>
          <t>Rolling / Unspecified</t>
        </is>
      </c>
      <c r="H148" s="66" t="inlineStr">
        <is>
          <t>미제공 (포털직접)</t>
        </is>
      </c>
    </row>
    <row r="149">
      <c r="A149" s="66" t="n">
        <v>148</v>
      </c>
      <c r="B149" s="67" t="inlineStr">
        <is>
          <t>mbda</t>
        </is>
      </c>
      <c r="C149" s="67" t="inlineStr">
        <is>
          <t>Software Engineering - Summer Placement 2027</t>
        </is>
      </c>
      <c r="D149" s="67" t="inlineStr">
        <is>
          <t>Software Engineering</t>
        </is>
      </c>
      <c r="E149" s="67" t="n"/>
      <c r="F149" s="66" t="inlineStr">
        <is>
          <t>N/A</t>
        </is>
      </c>
      <c r="G149" s="66" t="inlineStr">
        <is>
          <t>2027-01-05T00:00:00.000Z</t>
        </is>
      </c>
      <c r="H149" s="68" t="inlineStr">
        <is>
          <t>지원 링크 ↗</t>
        </is>
      </c>
    </row>
    <row r="150">
      <c r="A150" s="66" t="n">
        <v>149</v>
      </c>
      <c r="B150" s="67" t="inlineStr">
        <is>
          <t>certara</t>
        </is>
      </c>
      <c r="C150" s="67" t="inlineStr">
        <is>
          <t>Junior Software Developer (Student Intern)</t>
        </is>
      </c>
      <c r="D150" s="67" t="inlineStr">
        <is>
          <t>Software Engineering</t>
        </is>
      </c>
      <c r="E150" s="67" t="n"/>
      <c r="F150" s="66" t="inlineStr">
        <is>
          <t>N/A</t>
        </is>
      </c>
      <c r="G150" s="66" t="inlineStr">
        <is>
          <t>Rolling / Unspecified</t>
        </is>
      </c>
      <c r="H150" s="66" t="inlineStr">
        <is>
          <t>미제공 (포털직접)</t>
        </is>
      </c>
    </row>
    <row r="151">
      <c r="A151" s="66" t="n">
        <v>150</v>
      </c>
      <c r="B151" s="67" t="inlineStr">
        <is>
          <t>nasdaq</t>
        </is>
      </c>
      <c r="C151" s="67" t="inlineStr">
        <is>
          <t>Data Science Intern</t>
        </is>
      </c>
      <c r="D151" s="67" t="inlineStr">
        <is>
          <t>Data Science</t>
        </is>
      </c>
      <c r="E151" s="67" t="n"/>
      <c r="F151" s="66" t="inlineStr">
        <is>
          <t>N/A</t>
        </is>
      </c>
      <c r="G151" s="66" t="inlineStr">
        <is>
          <t>Rolling / Unspecified</t>
        </is>
      </c>
      <c r="H151" s="66" t="inlineStr">
        <is>
          <t>미제공 (포털직접)</t>
        </is>
      </c>
    </row>
    <row r="152">
      <c r="A152" s="66" t="n">
        <v>151</v>
      </c>
      <c r="B152" s="67" t="inlineStr">
        <is>
          <t>squarepoint-capital</t>
        </is>
      </c>
      <c r="C152" s="67" t="inlineStr">
        <is>
          <t>Intern Software Development - Summer 2027</t>
        </is>
      </c>
      <c r="D152" s="67" t="inlineStr">
        <is>
          <t>Software Engineering</t>
        </is>
      </c>
      <c r="E152" s="67" t="n"/>
      <c r="F152" s="66" t="inlineStr">
        <is>
          <t>N/A</t>
        </is>
      </c>
      <c r="G152" s="66" t="inlineStr">
        <is>
          <t>Rolling / Unspecified</t>
        </is>
      </c>
      <c r="H152" s="68" t="inlineStr">
        <is>
          <t>지원 링크 ↗</t>
        </is>
      </c>
    </row>
    <row r="153">
      <c r="A153" s="66" t="n">
        <v>152</v>
      </c>
      <c r="B153" s="67" t="inlineStr">
        <is>
          <t>cogna</t>
        </is>
      </c>
      <c r="C153" s="67" t="inlineStr">
        <is>
          <t>Software Engineer Intern (2027 Cohort)</t>
        </is>
      </c>
      <c r="D153" s="67" t="inlineStr">
        <is>
          <t>Software Engineering</t>
        </is>
      </c>
      <c r="E153" s="67" t="n"/>
      <c r="F153" s="66" t="inlineStr">
        <is>
          <t>N/A</t>
        </is>
      </c>
      <c r="G153" s="66" t="inlineStr">
        <is>
          <t>Rolling / Unspecified</t>
        </is>
      </c>
      <c r="H153" s="66" t="inlineStr">
        <is>
          <t>미제공 (포털직접)</t>
        </is>
      </c>
    </row>
    <row r="154">
      <c r="A154" s="66" t="n">
        <v>153</v>
      </c>
      <c r="B154" s="67" t="inlineStr">
        <is>
          <t>metrea</t>
        </is>
      </c>
      <c r="C154" s="67" t="inlineStr">
        <is>
          <t>Intern - Software Engineer</t>
        </is>
      </c>
      <c r="D154" s="67" t="inlineStr">
        <is>
          <t>Software Engineering</t>
        </is>
      </c>
      <c r="E154" s="67" t="n"/>
      <c r="F154" s="66" t="inlineStr">
        <is>
          <t>N/A</t>
        </is>
      </c>
      <c r="G154" s="66" t="inlineStr">
        <is>
          <t>Rolling / Unspecified</t>
        </is>
      </c>
      <c r="H154" s="66" t="inlineStr">
        <is>
          <t>미제공 (포털직접)</t>
        </is>
      </c>
    </row>
    <row r="155">
      <c r="A155" s="66" t="n">
        <v>154</v>
      </c>
      <c r="B155" s="67" t="inlineStr">
        <is>
          <t>drw</t>
        </is>
      </c>
      <c r="C155" s="67" t="inlineStr">
        <is>
          <t>2027 Software Developer Intern</t>
        </is>
      </c>
      <c r="D155" s="67" t="inlineStr">
        <is>
          <t>Quant Developer</t>
        </is>
      </c>
      <c r="E155" s="67" t="n"/>
      <c r="F155" s="66" t="inlineStr">
        <is>
          <t>N/A</t>
        </is>
      </c>
      <c r="G155" s="66" t="inlineStr">
        <is>
          <t>Rolling / Unspecified</t>
        </is>
      </c>
      <c r="H155" s="68" t="inlineStr">
        <is>
          <t>지원 링크 ↗</t>
        </is>
      </c>
    </row>
    <row r="156">
      <c r="A156" s="66" t="n">
        <v>155</v>
      </c>
      <c r="B156" s="67" t="inlineStr">
        <is>
          <t>moloco</t>
        </is>
      </c>
      <c r="C156" s="67" t="inlineStr">
        <is>
          <t>Machine Learning Engineer Intern</t>
        </is>
      </c>
      <c r="D156" s="67" t="inlineStr">
        <is>
          <t>AI and Machine Learning</t>
        </is>
      </c>
      <c r="E156" s="67" t="n"/>
      <c r="F156" s="66" t="inlineStr">
        <is>
          <t>N/A</t>
        </is>
      </c>
      <c r="G156" s="66" t="inlineStr">
        <is>
          <t>Rolling / Unspecified</t>
        </is>
      </c>
      <c r="H156" s="66" t="inlineStr">
        <is>
          <t>미제공 (포털직접)</t>
        </is>
      </c>
    </row>
    <row r="157">
      <c r="A157" s="66" t="n">
        <v>156</v>
      </c>
      <c r="B157" s="67" t="inlineStr">
        <is>
          <t>mathworks</t>
        </is>
      </c>
      <c r="C157" s="67" t="inlineStr">
        <is>
          <t>Software Development Internship</t>
        </is>
      </c>
      <c r="D157" s="67" t="inlineStr">
        <is>
          <t>Software Engineering</t>
        </is>
      </c>
      <c r="E157" s="67" t="n"/>
      <c r="F157" s="66" t="inlineStr">
        <is>
          <t>N/A</t>
        </is>
      </c>
      <c r="G157" s="66" t="inlineStr">
        <is>
          <t>Rolling / Unspecified</t>
        </is>
      </c>
      <c r="H157" s="66" t="inlineStr">
        <is>
          <t>미제공 (포털직접)</t>
        </is>
      </c>
    </row>
    <row r="158">
      <c r="A158" s="66" t="n">
        <v>157</v>
      </c>
      <c r="B158" s="67" t="inlineStr">
        <is>
          <t>nutanix</t>
        </is>
      </c>
      <c r="C158" s="67" t="inlineStr">
        <is>
          <t>Software Engineer Intern</t>
        </is>
      </c>
      <c r="D158" s="67" t="inlineStr">
        <is>
          <t>Software Engineering</t>
        </is>
      </c>
      <c r="E158" s="67" t="n"/>
      <c r="F158" s="66" t="inlineStr">
        <is>
          <t>N/A</t>
        </is>
      </c>
      <c r="G158" s="66" t="inlineStr">
        <is>
          <t>Rolling / Unspecified</t>
        </is>
      </c>
      <c r="H158" s="66" t="inlineStr">
        <is>
          <t>미제공 (포털직접)</t>
        </is>
      </c>
    </row>
    <row r="159">
      <c r="A159" s="66" t="n">
        <v>158</v>
      </c>
      <c r="B159" s="67" t="inlineStr">
        <is>
          <t>tpp</t>
        </is>
      </c>
      <c r="C159" s="67" t="inlineStr">
        <is>
          <t>Summer Internship - Software Developer</t>
        </is>
      </c>
      <c r="D159" s="67" t="inlineStr">
        <is>
          <t>Software Engineering</t>
        </is>
      </c>
      <c r="E159" s="67" t="n"/>
      <c r="F159" s="66" t="inlineStr">
        <is>
          <t>N/A</t>
        </is>
      </c>
      <c r="G159" s="66" t="inlineStr">
        <is>
          <t>Rolling / Unspecified</t>
        </is>
      </c>
      <c r="H159" s="66" t="inlineStr">
        <is>
          <t>미제공 (포털직접)</t>
        </is>
      </c>
    </row>
    <row r="160">
      <c r="A160" s="66" t="n">
        <v>159</v>
      </c>
      <c r="B160" s="67" t="inlineStr">
        <is>
          <t>wise</t>
        </is>
      </c>
      <c r="C160" s="67" t="inlineStr">
        <is>
          <t>Software Engineering Intern 2027</t>
        </is>
      </c>
      <c r="D160" s="67" t="inlineStr">
        <is>
          <t>Software Engineering</t>
        </is>
      </c>
      <c r="E160" s="67" t="n"/>
      <c r="F160" s="66" t="inlineStr">
        <is>
          <t>N/A</t>
        </is>
      </c>
      <c r="G160" s="66" t="inlineStr">
        <is>
          <t>Rolling / Unspecified</t>
        </is>
      </c>
      <c r="H160" s="66" t="inlineStr">
        <is>
          <t>미제공 (포털직접)</t>
        </is>
      </c>
    </row>
    <row r="161">
      <c r="A161" s="66" t="n">
        <v>160</v>
      </c>
      <c r="B161" s="67" t="inlineStr">
        <is>
          <t>thales</t>
        </is>
      </c>
      <c r="C161" s="67" t="inlineStr">
        <is>
          <t>Software Engineering Intern</t>
        </is>
      </c>
      <c r="D161" s="67" t="inlineStr">
        <is>
          <t>Software Engineering</t>
        </is>
      </c>
      <c r="E161" s="67" t="n"/>
      <c r="F161" s="66" t="inlineStr">
        <is>
          <t>N/A</t>
        </is>
      </c>
      <c r="G161" s="66" t="inlineStr">
        <is>
          <t>Rolling / Unspecified</t>
        </is>
      </c>
      <c r="H161" s="66" t="inlineStr">
        <is>
          <t>미제공 (포털직접)</t>
        </is>
      </c>
    </row>
    <row r="162">
      <c r="A162" s="66" t="n">
        <v>161</v>
      </c>
      <c r="B162" s="67" t="inlineStr">
        <is>
          <t>copper-co</t>
        </is>
      </c>
      <c r="C162" s="67" t="inlineStr">
        <is>
          <t>Information Security Summer Internship</t>
        </is>
      </c>
      <c r="D162" s="67" t="inlineStr">
        <is>
          <t>Cyber Security</t>
        </is>
      </c>
      <c r="E162" s="67" t="n"/>
      <c r="F162" s="66" t="inlineStr">
        <is>
          <t>N/A</t>
        </is>
      </c>
      <c r="G162" s="66" t="inlineStr">
        <is>
          <t>Rolling / Unspecified</t>
        </is>
      </c>
      <c r="H162" s="66" t="inlineStr">
        <is>
          <t>미제공 (포털직접)</t>
        </is>
      </c>
    </row>
    <row r="163">
      <c r="A163" s="66" t="n">
        <v>162</v>
      </c>
      <c r="B163" s="67" t="inlineStr">
        <is>
          <t>rolls-royce</t>
        </is>
      </c>
      <c r="C163" s="67" t="inlineStr">
        <is>
          <t>Engineering and Technology Summer Internship</t>
        </is>
      </c>
      <c r="D163" s="67" t="inlineStr">
        <is>
          <t>Software Engineering</t>
        </is>
      </c>
      <c r="E163" s="67" t="n"/>
      <c r="F163" s="66" t="inlineStr">
        <is>
          <t>N/A</t>
        </is>
      </c>
      <c r="G163" s="66" t="inlineStr">
        <is>
          <t>Rolling / Unspecified</t>
        </is>
      </c>
      <c r="H163" s="66" t="inlineStr">
        <is>
          <t>미제공 (포털직접)</t>
        </is>
      </c>
    </row>
    <row r="164">
      <c r="A164" s="66" t="n">
        <v>163</v>
      </c>
      <c r="B164" s="67" t="inlineStr">
        <is>
          <t>astrazeneca</t>
        </is>
      </c>
      <c r="C164" s="67" t="inlineStr">
        <is>
          <t>Digital &amp; Data Internship</t>
        </is>
      </c>
      <c r="D164" s="67" t="inlineStr">
        <is>
          <t>Data Science</t>
        </is>
      </c>
      <c r="E164" s="67" t="n"/>
      <c r="F164" s="66" t="inlineStr">
        <is>
          <t>N/A</t>
        </is>
      </c>
      <c r="G164" s="66" t="inlineStr">
        <is>
          <t>Rolling / Unspecified</t>
        </is>
      </c>
      <c r="H164" s="66" t="inlineStr">
        <is>
          <t>미제공 (포털직접)</t>
        </is>
      </c>
    </row>
    <row r="165">
      <c r="A165" s="66" t="n">
        <v>164</v>
      </c>
      <c r="B165" s="67" t="inlineStr">
        <is>
          <t>epic-games</t>
        </is>
      </c>
      <c r="C165" s="67" t="inlineStr">
        <is>
          <t>Web Engineer Intern</t>
        </is>
      </c>
      <c r="D165" s="67" t="inlineStr">
        <is>
          <t>Software Engineering</t>
        </is>
      </c>
      <c r="E165" s="67" t="n"/>
      <c r="F165" s="66" t="inlineStr">
        <is>
          <t>N/A</t>
        </is>
      </c>
      <c r="G165" s="66" t="inlineStr">
        <is>
          <t>Rolling / Unspecified</t>
        </is>
      </c>
      <c r="H165" s="68" t="inlineStr">
        <is>
          <t>지원 링크 ↗</t>
        </is>
      </c>
    </row>
    <row r="166">
      <c r="A166" s="66" t="n">
        <v>165</v>
      </c>
      <c r="B166" s="67" t="inlineStr">
        <is>
          <t>castleton-commodities-international</t>
        </is>
      </c>
      <c r="C166" s="67" t="inlineStr">
        <is>
          <t>Software Engineer Internship (Summer 2027)</t>
        </is>
      </c>
      <c r="D166" s="67" t="inlineStr">
        <is>
          <t>Quant Developer</t>
        </is>
      </c>
      <c r="E166" s="67" t="n"/>
      <c r="F166" s="66" t="inlineStr">
        <is>
          <t>N/A</t>
        </is>
      </c>
      <c r="G166" s="66" t="inlineStr">
        <is>
          <t>2026-09-13T00:00:00.000Z</t>
        </is>
      </c>
      <c r="H166" s="68" t="inlineStr">
        <is>
          <t>지원 링크 ↗</t>
        </is>
      </c>
    </row>
    <row r="167">
      <c r="A167" s="66" t="n">
        <v>166</v>
      </c>
      <c r="B167" s="67" t="inlineStr">
        <is>
          <t>frontier-economics</t>
        </is>
      </c>
      <c r="C167" s="67" t="inlineStr">
        <is>
          <t>2027 Junior Data Scientist Internship</t>
        </is>
      </c>
      <c r="D167" s="67" t="inlineStr">
        <is>
          <t>Data Science</t>
        </is>
      </c>
      <c r="E167" s="67" t="n"/>
      <c r="F167" s="66" t="inlineStr">
        <is>
          <t>N/A</t>
        </is>
      </c>
      <c r="G167" s="66" t="inlineStr">
        <is>
          <t>Rolling / Unspecified</t>
        </is>
      </c>
      <c r="H167" s="66" t="inlineStr">
        <is>
          <t>미제공 (포털직접)</t>
        </is>
      </c>
    </row>
    <row r="168">
      <c r="A168" s="66" t="n">
        <v>167</v>
      </c>
      <c r="B168" s="67" t="inlineStr">
        <is>
          <t>hacktron-ai</t>
        </is>
      </c>
      <c r="C168" s="67" t="inlineStr">
        <is>
          <t>Member of Technical Staff Intern</t>
        </is>
      </c>
      <c r="D168" s="67" t="inlineStr">
        <is>
          <t>Startups</t>
        </is>
      </c>
      <c r="E168" s="67" t="n"/>
      <c r="F168" s="66" t="inlineStr">
        <is>
          <t>N/A</t>
        </is>
      </c>
      <c r="G168" s="66" t="inlineStr">
        <is>
          <t>Rolling / Unspecified</t>
        </is>
      </c>
      <c r="H168" s="66" t="inlineStr">
        <is>
          <t>미제공 (포털직접)</t>
        </is>
      </c>
    </row>
    <row r="169">
      <c r="A169" s="66" t="n">
        <v>168</v>
      </c>
      <c r="B169" s="67" t="inlineStr">
        <is>
          <t>imc-trading</t>
        </is>
      </c>
      <c r="C169" s="67" t="inlineStr">
        <is>
          <t>Machine Learning Research Intern - Summer 2027</t>
        </is>
      </c>
      <c r="D169" s="67" t="inlineStr">
        <is>
          <t>AI and Machine Learning</t>
        </is>
      </c>
      <c r="E169" s="67" t="n"/>
      <c r="F169" s="66" t="inlineStr">
        <is>
          <t>N/A</t>
        </is>
      </c>
      <c r="G169" s="66" t="inlineStr">
        <is>
          <t>Rolling / Unspecified</t>
        </is>
      </c>
      <c r="H169" s="68" t="inlineStr">
        <is>
          <t>지원 링크 ↗</t>
        </is>
      </c>
    </row>
    <row r="170">
      <c r="A170" s="66" t="n">
        <v>169</v>
      </c>
      <c r="B170" s="67" t="inlineStr">
        <is>
          <t>man-group</t>
        </is>
      </c>
      <c r="C170" s="67" t="inlineStr">
        <is>
          <t>2027 Summer Technology Internship Programme</t>
        </is>
      </c>
      <c r="D170" s="67" t="inlineStr">
        <is>
          <t>Software Engineering, Data Science, DevOps and Infrastructure, Quant Developer</t>
        </is>
      </c>
      <c r="E170" s="67" t="n"/>
      <c r="F170" s="66" t="inlineStr">
        <is>
          <t>N/A</t>
        </is>
      </c>
      <c r="G170" s="66" t="inlineStr">
        <is>
          <t>2026-10-30T00:00:00.000Z</t>
        </is>
      </c>
      <c r="H170" s="68" t="inlineStr">
        <is>
          <t>지원 링크 ↗</t>
        </is>
      </c>
    </row>
    <row r="171">
      <c r="A171" s="66" t="n">
        <v>170</v>
      </c>
      <c r="B171" s="67" t="inlineStr">
        <is>
          <t>mako-trading</t>
        </is>
      </c>
      <c r="C171" s="67" t="inlineStr">
        <is>
          <t>Summer Internship - Trading &amp; Technology</t>
        </is>
      </c>
      <c r="D171" s="67" t="inlineStr">
        <is>
          <t>Quant Developer</t>
        </is>
      </c>
      <c r="E171" s="67" t="n"/>
      <c r="F171" s="66" t="inlineStr">
        <is>
          <t>N/A</t>
        </is>
      </c>
      <c r="G171" s="66" t="inlineStr">
        <is>
          <t>Rolling / Unspecified</t>
        </is>
      </c>
      <c r="H171" s="66" t="inlineStr">
        <is>
          <t>미제공 (포털직접)</t>
        </is>
      </c>
    </row>
    <row r="172">
      <c r="A172" s="66" t="n">
        <v>171</v>
      </c>
      <c r="B172" s="67" t="inlineStr">
        <is>
          <t>slb</t>
        </is>
      </c>
      <c r="C172" s="67" t="inlineStr">
        <is>
          <t>Software Engineer Intern (3 months)</t>
        </is>
      </c>
      <c r="D172" s="67" t="inlineStr">
        <is>
          <t>Software Engineering</t>
        </is>
      </c>
      <c r="E172" s="67" t="n"/>
      <c r="F172" s="66" t="inlineStr">
        <is>
          <t>N/A</t>
        </is>
      </c>
      <c r="G172" s="66" t="inlineStr">
        <is>
          <t>Rolling / Unspecified</t>
        </is>
      </c>
      <c r="H172" s="66" t="inlineStr">
        <is>
          <t>미제공 (포털직접)</t>
        </is>
      </c>
    </row>
    <row r="173">
      <c r="A173" s="66" t="n">
        <v>172</v>
      </c>
      <c r="B173" s="67" t="inlineStr">
        <is>
          <t>jane-street</t>
        </is>
      </c>
      <c r="C173" s="67" t="inlineStr">
        <is>
          <t>2027 Summer Internship</t>
        </is>
      </c>
      <c r="D173" s="67" t="inlineStr">
        <is>
          <t>Quant Developer, AI and Machine Learning, IT</t>
        </is>
      </c>
      <c r="E173" s="67" t="n"/>
      <c r="F173" s="66" t="inlineStr">
        <is>
          <t>N/A</t>
        </is>
      </c>
      <c r="G173" s="66" t="inlineStr">
        <is>
          <t>Rolling / Unspecified</t>
        </is>
      </c>
      <c r="H173" s="68" t="inlineStr">
        <is>
          <t>지원 링크 ↗</t>
        </is>
      </c>
    </row>
    <row r="174">
      <c r="A174" s="66" t="n">
        <v>173</v>
      </c>
      <c r="B174" s="67" t="inlineStr">
        <is>
          <t>qube-rt</t>
        </is>
      </c>
      <c r="C174" s="67" t="inlineStr">
        <is>
          <t>2027 Internship - Infrastructure Engineering</t>
        </is>
      </c>
      <c r="D174" s="67" t="inlineStr">
        <is>
          <t>DevOps and Infrastructure</t>
        </is>
      </c>
      <c r="E174" s="67" t="n"/>
      <c r="F174" s="66" t="inlineStr">
        <is>
          <t>N/A</t>
        </is>
      </c>
      <c r="G174" s="66" t="inlineStr">
        <is>
          <t>Rolling / Unspecified</t>
        </is>
      </c>
      <c r="H174" s="68" t="inlineStr">
        <is>
          <t>지원 링크 ↗</t>
        </is>
      </c>
    </row>
    <row r="175">
      <c r="A175" s="66" t="n">
        <v>174</v>
      </c>
      <c r="B175" s="67" t="inlineStr">
        <is>
          <t>siemens</t>
        </is>
      </c>
      <c r="C175" s="67" t="inlineStr">
        <is>
          <t>Summer Intern – Software Development</t>
        </is>
      </c>
      <c r="D175" s="67" t="inlineStr">
        <is>
          <t>Software Engineering</t>
        </is>
      </c>
      <c r="E175" s="67" t="n"/>
      <c r="F175" s="66" t="inlineStr">
        <is>
          <t>N/A</t>
        </is>
      </c>
      <c r="G175" s="66" t="inlineStr">
        <is>
          <t>Rolling / Unspecified</t>
        </is>
      </c>
      <c r="H175" s="66" t="inlineStr">
        <is>
          <t>미제공 (포털직접)</t>
        </is>
      </c>
    </row>
    <row r="176">
      <c r="A176" s="66" t="n">
        <v>175</v>
      </c>
      <c r="B176" s="67" t="inlineStr">
        <is>
          <t>wincent</t>
        </is>
      </c>
      <c r="C176" s="67" t="inlineStr">
        <is>
          <t>Engineers – Internship 2027</t>
        </is>
      </c>
      <c r="D176" s="67" t="inlineStr">
        <is>
          <t>Quant Developer, Promoted</t>
        </is>
      </c>
      <c r="E176" s="67" t="n"/>
      <c r="F176" s="66" t="inlineStr">
        <is>
          <t>N/A</t>
        </is>
      </c>
      <c r="G176" s="66" t="inlineStr">
        <is>
          <t>Rolling / Unspecified</t>
        </is>
      </c>
      <c r="H176" s="66" t="inlineStr">
        <is>
          <t>미제공 (포털직접)</t>
        </is>
      </c>
    </row>
    <row r="177">
      <c r="A177" s="66" t="n">
        <v>176</v>
      </c>
      <c r="B177" s="67" t="inlineStr">
        <is>
          <t>uipath</t>
        </is>
      </c>
      <c r="C177" s="67" t="inlineStr">
        <is>
          <t>Software Engineer Intern</t>
        </is>
      </c>
      <c r="D177" s="67" t="inlineStr">
        <is>
          <t>Software Engineering</t>
        </is>
      </c>
      <c r="E177" s="67" t="n"/>
      <c r="F177" s="66" t="inlineStr">
        <is>
          <t>N/A</t>
        </is>
      </c>
      <c r="G177" s="66" t="inlineStr">
        <is>
          <t>Rolling / Unspecified</t>
        </is>
      </c>
      <c r="H177" s="66" t="inlineStr">
        <is>
          <t>미제공 (포털직접)</t>
        </is>
      </c>
    </row>
    <row r="178">
      <c r="A178" s="66" t="n">
        <v>177</v>
      </c>
      <c r="B178" s="67" t="inlineStr">
        <is>
          <t>multus</t>
        </is>
      </c>
      <c r="C178" s="67" t="inlineStr">
        <is>
          <t>Machine Learning/Software Engineer Intern</t>
        </is>
      </c>
      <c r="D178" s="67" t="inlineStr">
        <is>
          <t>AI and Machine Learning</t>
        </is>
      </c>
      <c r="E178" s="67" t="n"/>
      <c r="F178" s="66" t="inlineStr">
        <is>
          <t>N/A</t>
        </is>
      </c>
      <c r="G178" s="66" t="inlineStr">
        <is>
          <t>Rolling / Unspecified</t>
        </is>
      </c>
      <c r="H178" s="66" t="inlineStr">
        <is>
          <t>미제공 (포털직접)</t>
        </is>
      </c>
    </row>
    <row r="179">
      <c r="A179" s="66" t="n">
        <v>178</v>
      </c>
      <c r="B179" s="67" t="inlineStr">
        <is>
          <t>mewburn-ellis</t>
        </is>
      </c>
      <c r="C179" s="67" t="inlineStr">
        <is>
          <t>Summer Internship - Artificial Intelligence &amp; Machine Learning</t>
        </is>
      </c>
      <c r="D179" s="67" t="inlineStr">
        <is>
          <t>AI and Machine Learning</t>
        </is>
      </c>
      <c r="E179" s="67" t="n"/>
      <c r="F179" s="66" t="inlineStr">
        <is>
          <t>N/A</t>
        </is>
      </c>
      <c r="G179" s="66" t="inlineStr">
        <is>
          <t>Rolling / Unspecified</t>
        </is>
      </c>
      <c r="H179" s="66" t="inlineStr">
        <is>
          <t>미제공 (포털직접)</t>
        </is>
      </c>
    </row>
    <row r="180">
      <c r="A180" s="66" t="n">
        <v>179</v>
      </c>
      <c r="B180" s="67" t="inlineStr">
        <is>
          <t>commonai-cic</t>
        </is>
      </c>
      <c r="C180" s="67" t="inlineStr">
        <is>
          <t>Software Engineer (Summer 2027 Internship)</t>
        </is>
      </c>
      <c r="D180" s="67" t="inlineStr">
        <is>
          <t>Software Engineering</t>
        </is>
      </c>
      <c r="E180" s="67" t="n"/>
      <c r="F180" s="66" t="inlineStr">
        <is>
          <t>N/A</t>
        </is>
      </c>
      <c r="G180" s="66" t="inlineStr">
        <is>
          <t>Rolling / Unspecified</t>
        </is>
      </c>
      <c r="H180" s="66" t="inlineStr">
        <is>
          <t>미제공 (포털직접)</t>
        </is>
      </c>
    </row>
    <row r="181">
      <c r="A181" s="66" t="n">
        <v>180</v>
      </c>
      <c r="B181" s="67" t="inlineStr">
        <is>
          <t>redgate</t>
        </is>
      </c>
      <c r="C181" s="67" t="inlineStr">
        <is>
          <t>Software Engineer Internship 2027</t>
        </is>
      </c>
      <c r="D181" s="67" t="inlineStr">
        <is>
          <t>Software Engineering</t>
        </is>
      </c>
      <c r="E181" s="67" t="n"/>
      <c r="F181" s="66" t="inlineStr">
        <is>
          <t>N/A</t>
        </is>
      </c>
      <c r="G181" s="66" t="inlineStr">
        <is>
          <t>Rolling / Unspecified</t>
        </is>
      </c>
      <c r="H181" s="66" t="inlineStr">
        <is>
          <t>미제공 (포털직접)</t>
        </is>
      </c>
    </row>
    <row r="182">
      <c r="A182" s="66" t="n">
        <v>181</v>
      </c>
      <c r="B182" s="67" t="inlineStr">
        <is>
          <t>microsoft</t>
        </is>
      </c>
      <c r="C182" s="67" t="inlineStr">
        <is>
          <t>Software Engineer Internship Opportunities</t>
        </is>
      </c>
      <c r="D182" s="67" t="inlineStr">
        <is>
          <t>Software Engineering</t>
        </is>
      </c>
      <c r="E182" s="67" t="n"/>
      <c r="F182" s="66" t="inlineStr">
        <is>
          <t>N/A</t>
        </is>
      </c>
      <c r="G182" s="66" t="inlineStr">
        <is>
          <t>Rolling / Unspecified</t>
        </is>
      </c>
      <c r="H182" s="66" t="inlineStr">
        <is>
          <t>미제공 (포털직접)</t>
        </is>
      </c>
    </row>
    <row r="183">
      <c r="A183" s="66" t="n">
        <v>182</v>
      </c>
      <c r="B183" s="67" t="inlineStr">
        <is>
          <t>aveva</t>
        </is>
      </c>
      <c r="C183" s="67" t="inlineStr">
        <is>
          <t>Software Developer Intern</t>
        </is>
      </c>
      <c r="D183" s="67" t="inlineStr">
        <is>
          <t>Software Engineering</t>
        </is>
      </c>
      <c r="E183" s="67" t="n"/>
      <c r="F183" s="66" t="inlineStr">
        <is>
          <t>N/A</t>
        </is>
      </c>
      <c r="G183" s="66" t="inlineStr">
        <is>
          <t>Rolling / Unspecified</t>
        </is>
      </c>
      <c r="H183" s="66" t="inlineStr">
        <is>
          <t>미제공 (포털직접)</t>
        </is>
      </c>
    </row>
    <row r="184">
      <c r="A184" s="66" t="n">
        <v>183</v>
      </c>
      <c r="B184" s="67" t="inlineStr">
        <is>
          <t>meta</t>
        </is>
      </c>
      <c r="C184" s="67" t="inlineStr">
        <is>
          <t>Software Engineer Intern</t>
        </is>
      </c>
      <c r="D184" s="67" t="inlineStr">
        <is>
          <t>Software Engineering</t>
        </is>
      </c>
      <c r="E184" s="67" t="n"/>
      <c r="F184" s="66" t="inlineStr">
        <is>
          <t>N/A</t>
        </is>
      </c>
      <c r="G184" s="66" t="inlineStr">
        <is>
          <t>Rolling / Unspecified</t>
        </is>
      </c>
      <c r="H184" s="66" t="inlineStr">
        <is>
          <t>미제공 (포털직접)</t>
        </is>
      </c>
    </row>
    <row r="185">
      <c r="A185" s="66" t="n">
        <v>184</v>
      </c>
      <c r="B185" s="67" t="inlineStr">
        <is>
          <t>jump-trading</t>
        </is>
      </c>
      <c r="C185" s="67" t="inlineStr">
        <is>
          <t>Campus Software Engineer (Intern)</t>
        </is>
      </c>
      <c r="D185" s="67" t="inlineStr">
        <is>
          <t>Quant Developer</t>
        </is>
      </c>
      <c r="E185" s="67" t="n"/>
      <c r="F185" s="66" t="inlineStr">
        <is>
          <t>N/A</t>
        </is>
      </c>
      <c r="G185" s="66" t="inlineStr">
        <is>
          <t>Rolling / Unspecified</t>
        </is>
      </c>
      <c r="H185" s="68" t="inlineStr">
        <is>
          <t>지원 링크 ↗</t>
        </is>
      </c>
    </row>
    <row r="186">
      <c r="A186" s="66" t="n">
        <v>185</v>
      </c>
      <c r="B186" s="67" t="inlineStr">
        <is>
          <t>ncr-atleos</t>
        </is>
      </c>
      <c r="C186" s="67" t="inlineStr">
        <is>
          <t>Software Internship - Summer 2027 (12 Weeks)</t>
        </is>
      </c>
      <c r="D186" s="67" t="inlineStr">
        <is>
          <t>Software Engineering</t>
        </is>
      </c>
      <c r="E186" s="67" t="n"/>
      <c r="F186" s="66" t="inlineStr">
        <is>
          <t>N/A</t>
        </is>
      </c>
      <c r="G186" s="66" t="inlineStr">
        <is>
          <t>Rolling / Unspecified</t>
        </is>
      </c>
      <c r="H186" s="66" t="inlineStr">
        <is>
          <t>미제공 (포털직접)</t>
        </is>
      </c>
    </row>
    <row r="187">
      <c r="A187" s="66" t="n">
        <v>186</v>
      </c>
      <c r="B187" s="67" t="inlineStr">
        <is>
          <t>onestream</t>
        </is>
      </c>
      <c r="C187" s="67" t="inlineStr">
        <is>
          <t>Summer Intern</t>
        </is>
      </c>
      <c r="D187" s="67" t="inlineStr">
        <is>
          <t>Software Engineering</t>
        </is>
      </c>
      <c r="E187" s="67" t="n"/>
      <c r="F187" s="66" t="inlineStr">
        <is>
          <t>N/A</t>
        </is>
      </c>
      <c r="G187" s="66" t="inlineStr">
        <is>
          <t>Rolling / Unspecified</t>
        </is>
      </c>
      <c r="H187" s="66" t="inlineStr">
        <is>
          <t>미제공 (포털직접)</t>
        </is>
      </c>
    </row>
    <row r="188">
      <c r="A188" s="66" t="n">
        <v>187</v>
      </c>
      <c r="B188" s="67" t="inlineStr">
        <is>
          <t>financial-conduct-authority</t>
        </is>
      </c>
      <c r="C188" s="67" t="inlineStr">
        <is>
          <t>2027 Technology Summer Internship</t>
        </is>
      </c>
      <c r="D188" s="67" t="inlineStr">
        <is>
          <t>Software Engineering</t>
        </is>
      </c>
      <c r="E188" s="67" t="n"/>
      <c r="F188" s="66" t="inlineStr">
        <is>
          <t>N/A</t>
        </is>
      </c>
      <c r="G188" s="66" t="inlineStr">
        <is>
          <t>Rolling / Unspecified</t>
        </is>
      </c>
      <c r="H188" s="66" t="inlineStr">
        <is>
          <t>미제공 (포털직접)</t>
        </is>
      </c>
    </row>
    <row r="189">
      <c r="A189" s="66" t="n">
        <v>188</v>
      </c>
      <c r="B189" s="67" t="inlineStr">
        <is>
          <t>pqshield</t>
        </is>
      </c>
      <c r="C189" s="67" t="inlineStr">
        <is>
          <t>Software Prototype Intern – Post-Quantum Cryptography</t>
        </is>
      </c>
      <c r="D189" s="67" t="inlineStr">
        <is>
          <t>Cyber Security</t>
        </is>
      </c>
      <c r="E189" s="67" t="n"/>
      <c r="F189" s="66" t="inlineStr">
        <is>
          <t>N/A</t>
        </is>
      </c>
      <c r="G189" s="66" t="inlineStr">
        <is>
          <t>Rolling / Unspecified</t>
        </is>
      </c>
      <c r="H189" s="66" t="inlineStr">
        <is>
          <t>미제공 (포털직접)</t>
        </is>
      </c>
    </row>
    <row r="190">
      <c r="A190" s="66" t="n">
        <v>189</v>
      </c>
      <c r="B190" s="67" t="inlineStr">
        <is>
          <t>ibm</t>
        </is>
      </c>
      <c r="C190" s="67" t="inlineStr">
        <is>
          <t>Intern Back-End Developer - Starting July 2027</t>
        </is>
      </c>
      <c r="D190" s="67" t="inlineStr">
        <is>
          <t>Software Engineering</t>
        </is>
      </c>
      <c r="E190" s="67" t="n"/>
      <c r="F190" s="66" t="inlineStr">
        <is>
          <t>N/A</t>
        </is>
      </c>
      <c r="G190" s="66" t="inlineStr">
        <is>
          <t>2026-09-13T00:00:00.000Z</t>
        </is>
      </c>
      <c r="H190" s="68" t="inlineStr">
        <is>
          <t>지원 링크 ↗</t>
        </is>
      </c>
    </row>
    <row r="191">
      <c r="A191" s="66" t="n">
        <v>190</v>
      </c>
      <c r="B191" s="67" t="inlineStr">
        <is>
          <t>spaice</t>
        </is>
      </c>
      <c r="C191" s="67" t="inlineStr">
        <is>
          <t>Computer Vision Engineer Intern</t>
        </is>
      </c>
      <c r="D191" s="67" t="inlineStr">
        <is>
          <t>Software Engineering</t>
        </is>
      </c>
      <c r="E191" s="67" t="n"/>
      <c r="F191" s="66" t="inlineStr">
        <is>
          <t>N/A</t>
        </is>
      </c>
      <c r="G191" s="66" t="inlineStr">
        <is>
          <t>Rolling / Unspecified</t>
        </is>
      </c>
      <c r="H191" s="66" t="inlineStr">
        <is>
          <t>미제공 (포털직접)</t>
        </is>
      </c>
    </row>
    <row r="192">
      <c r="A192" s="66" t="n">
        <v>191</v>
      </c>
      <c r="B192" s="67" t="inlineStr">
        <is>
          <t>ubs</t>
        </is>
      </c>
      <c r="C192" s="67" t="inlineStr">
        <is>
          <t>2027 Summer Internship Program - GOTO Technology</t>
        </is>
      </c>
      <c r="D192" s="67" t="inlineStr">
        <is>
          <t>Software Engineering</t>
        </is>
      </c>
      <c r="E192" s="67" t="n"/>
      <c r="F192" s="66" t="inlineStr">
        <is>
          <t>N/A</t>
        </is>
      </c>
      <c r="G192" s="66" t="inlineStr">
        <is>
          <t>Rolling / Unspecified</t>
        </is>
      </c>
      <c r="H192" s="66" t="inlineStr">
        <is>
          <t>미제공 (포털직접)</t>
        </is>
      </c>
    </row>
    <row r="193">
      <c r="A193" s="66" t="n">
        <v>192</v>
      </c>
      <c r="B193" s="67" t="inlineStr">
        <is>
          <t>american-express</t>
        </is>
      </c>
      <c r="C193" s="67" t="inlineStr">
        <is>
          <t>Internship Programme - Software Engineer - 2027</t>
        </is>
      </c>
      <c r="D193" s="67" t="inlineStr">
        <is>
          <t>Software Engineering, AI and Machine Learning, Cyber Security</t>
        </is>
      </c>
      <c r="E193" s="67" t="n"/>
      <c r="F193" s="66" t="inlineStr">
        <is>
          <t>N/A</t>
        </is>
      </c>
      <c r="G193" s="66" t="inlineStr">
        <is>
          <t>Rolling / Unspecified</t>
        </is>
      </c>
      <c r="H193" s="68" t="inlineStr">
        <is>
          <t>지원 링크 ↗</t>
        </is>
      </c>
    </row>
    <row r="194">
      <c r="A194" s="66" t="n">
        <v>193</v>
      </c>
      <c r="B194" s="67" t="inlineStr">
        <is>
          <t>direct-soccer</t>
        </is>
      </c>
      <c r="C194" s="67" t="inlineStr">
        <is>
          <t>Technology Internship (Summer 2027)</t>
        </is>
      </c>
      <c r="D194" s="67" t="inlineStr">
        <is>
          <t>Software Engineering</t>
        </is>
      </c>
      <c r="E194" s="67" t="n"/>
      <c r="F194" s="66" t="inlineStr">
        <is>
          <t>N/A</t>
        </is>
      </c>
      <c r="G194" s="66" t="inlineStr">
        <is>
          <t>Rolling / Unspecified</t>
        </is>
      </c>
      <c r="H194" s="66" t="inlineStr">
        <is>
          <t>미제공 (포털직접)</t>
        </is>
      </c>
    </row>
    <row r="195">
      <c r="A195" s="66" t="n">
        <v>194</v>
      </c>
      <c r="B195" s="67" t="inlineStr">
        <is>
          <t>parexel</t>
        </is>
      </c>
      <c r="C195" s="67" t="inlineStr">
        <is>
          <t xml:space="preserve">AI Summer Intern </t>
        </is>
      </c>
      <c r="D195" s="67" t="inlineStr">
        <is>
          <t>AI and Machine Learning</t>
        </is>
      </c>
      <c r="E195" s="67" t="n"/>
      <c r="F195" s="66" t="inlineStr">
        <is>
          <t>N/A</t>
        </is>
      </c>
      <c r="G195" s="66" t="inlineStr">
        <is>
          <t>Rolling / Unspecified</t>
        </is>
      </c>
      <c r="H195" s="66" t="inlineStr">
        <is>
          <t>미제공 (포털직접)</t>
        </is>
      </c>
    </row>
    <row r="196">
      <c r="A196" s="66" t="n">
        <v>195</v>
      </c>
      <c r="B196" s="67" t="inlineStr">
        <is>
          <t>anduril</t>
        </is>
      </c>
      <c r="C196" s="67" t="inlineStr">
        <is>
          <t>2027 Software Engineer Intern</t>
        </is>
      </c>
      <c r="D196" s="67" t="inlineStr">
        <is>
          <t>Software Engineering</t>
        </is>
      </c>
      <c r="E196" s="67" t="n"/>
      <c r="F196" s="66" t="inlineStr">
        <is>
          <t>N/A</t>
        </is>
      </c>
      <c r="G196" s="66" t="inlineStr">
        <is>
          <t>Rolling / Unspecified</t>
        </is>
      </c>
      <c r="H196" s="68" t="inlineStr">
        <is>
          <t>지원 링크 ↗</t>
        </is>
      </c>
    </row>
    <row r="197">
      <c r="A197" s="66" t="n">
        <v>196</v>
      </c>
      <c r="B197" s="67" t="inlineStr">
        <is>
          <t>dow-jones</t>
        </is>
      </c>
      <c r="C197" s="67" t="inlineStr">
        <is>
          <t>Summer 2027 Internship – Data Analyst Intern</t>
        </is>
      </c>
      <c r="D197" s="67" t="inlineStr">
        <is>
          <t>Data Science</t>
        </is>
      </c>
      <c r="E197" s="67" t="n"/>
      <c r="F197" s="66" t="inlineStr">
        <is>
          <t>N/A</t>
        </is>
      </c>
      <c r="G197" s="66" t="inlineStr">
        <is>
          <t>Rolling / Unspecified</t>
        </is>
      </c>
      <c r="H197" s="66" t="inlineStr">
        <is>
          <t>미제공 (포털직접)</t>
        </is>
      </c>
    </row>
    <row r="198">
      <c r="A198" s="66" t="n">
        <v>197</v>
      </c>
      <c r="B198" s="67" t="inlineStr">
        <is>
          <t>expedia</t>
        </is>
      </c>
      <c r="C198" s="67" t="inlineStr">
        <is>
          <t>Software Development Engineering Intern</t>
        </is>
      </c>
      <c r="D198" s="67" t="inlineStr">
        <is>
          <t>Software Engineering</t>
        </is>
      </c>
      <c r="E198" s="67" t="n"/>
      <c r="F198" s="66" t="inlineStr">
        <is>
          <t>N/A</t>
        </is>
      </c>
      <c r="G198" s="66" t="inlineStr">
        <is>
          <t>Rolling / Unspecified</t>
        </is>
      </c>
      <c r="H198" s="66" t="inlineStr">
        <is>
          <t>미제공 (포털직접)</t>
        </is>
      </c>
    </row>
    <row r="199">
      <c r="A199" s="66" t="n">
        <v>198</v>
      </c>
      <c r="B199" s="67" t="inlineStr">
        <is>
          <t>tencent</t>
        </is>
      </c>
      <c r="C199" s="67" t="inlineStr">
        <is>
          <t>Data Science Intern</t>
        </is>
      </c>
      <c r="D199" s="67" t="inlineStr">
        <is>
          <t>Data Science</t>
        </is>
      </c>
      <c r="E199" s="67" t="n"/>
      <c r="F199" s="66" t="inlineStr">
        <is>
          <t>N/A</t>
        </is>
      </c>
      <c r="G199" s="66" t="inlineStr">
        <is>
          <t>Rolling / Unspecified</t>
        </is>
      </c>
      <c r="H199" s="66" t="inlineStr">
        <is>
          <t>미제공 (포털직접)</t>
        </is>
      </c>
    </row>
    <row r="200">
      <c r="A200" s="66" t="n">
        <v>199</v>
      </c>
      <c r="B200" s="67" t="inlineStr">
        <is>
          <t>ey</t>
        </is>
      </c>
      <c r="C200" s="67" t="inlineStr">
        <is>
          <t>Technology Summer Internship - 2027</t>
        </is>
      </c>
      <c r="D200" s="67" t="inlineStr">
        <is>
          <t>Tech Consulting</t>
        </is>
      </c>
      <c r="E200" s="67" t="n"/>
      <c r="F200" s="66" t="inlineStr">
        <is>
          <t>N/A</t>
        </is>
      </c>
      <c r="G200" s="66" t="inlineStr">
        <is>
          <t>Rolling / Unspecified</t>
        </is>
      </c>
      <c r="H200" s="66" t="inlineStr">
        <is>
          <t>미제공 (포털직접)</t>
        </is>
      </c>
    </row>
    <row r="201">
      <c r="A201" s="66" t="n">
        <v>200</v>
      </c>
      <c r="B201" s="67" t="inlineStr">
        <is>
          <t>credit-agricole</t>
        </is>
      </c>
      <c r="C201" s="67" t="inlineStr">
        <is>
          <t>Summer Internship Programme 2027 - IT</t>
        </is>
      </c>
      <c r="D201" s="67" t="inlineStr">
        <is>
          <t>IT</t>
        </is>
      </c>
      <c r="E201" s="67" t="n"/>
      <c r="F201" s="66" t="inlineStr">
        <is>
          <t>N/A</t>
        </is>
      </c>
      <c r="G201" s="66" t="inlineStr">
        <is>
          <t>Rolling / Unspecified</t>
        </is>
      </c>
      <c r="H201" s="66" t="inlineStr">
        <is>
          <t>미제공 (포털직접)</t>
        </is>
      </c>
    </row>
    <row r="202">
      <c r="A202" s="66" t="n">
        <v>201</v>
      </c>
      <c r="B202" s="67" t="inlineStr">
        <is>
          <t>symphony</t>
        </is>
      </c>
      <c r="C202" s="67" t="inlineStr">
        <is>
          <t>Intern, Software Development</t>
        </is>
      </c>
      <c r="D202" s="67" t="inlineStr">
        <is>
          <t>Software Engineering</t>
        </is>
      </c>
      <c r="E202" s="67" t="n"/>
      <c r="F202" s="66" t="inlineStr">
        <is>
          <t>N/A</t>
        </is>
      </c>
      <c r="G202" s="66" t="inlineStr">
        <is>
          <t>Rolling / Unspecified</t>
        </is>
      </c>
      <c r="H202" s="66" t="inlineStr">
        <is>
          <t>미제공 (포털직접)</t>
        </is>
      </c>
    </row>
    <row r="203">
      <c r="A203" s="66" t="n">
        <v>202</v>
      </c>
      <c r="B203" s="67" t="inlineStr">
        <is>
          <t>deloitte</t>
        </is>
      </c>
      <c r="C203" s="67" t="inlineStr">
        <is>
          <t>Summer Vacation Scheme</t>
        </is>
      </c>
      <c r="D203" s="67" t="inlineStr">
        <is>
          <t>Data Science</t>
        </is>
      </c>
      <c r="E203" s="67" t="n"/>
      <c r="F203" s="66" t="inlineStr">
        <is>
          <t>N/A</t>
        </is>
      </c>
      <c r="G203" s="66" t="inlineStr">
        <is>
          <t>Rolling / Unspecified</t>
        </is>
      </c>
      <c r="H203" s="66" t="inlineStr">
        <is>
          <t>미제공 (포털직접)</t>
        </is>
      </c>
    </row>
    <row r="204">
      <c r="A204" s="66" t="n">
        <v>203</v>
      </c>
      <c r="B204" s="67" t="inlineStr">
        <is>
          <t>bain-company</t>
        </is>
      </c>
      <c r="C204" s="67" t="inlineStr">
        <is>
          <t>AI Engineering, Intern</t>
        </is>
      </c>
      <c r="D204" s="67" t="inlineStr">
        <is>
          <t>AI and Machine Learning</t>
        </is>
      </c>
      <c r="E204" s="67" t="n"/>
      <c r="F204" s="66" t="inlineStr">
        <is>
          <t>N/A</t>
        </is>
      </c>
      <c r="G204" s="66" t="inlineStr">
        <is>
          <t>Rolling / Unspecified</t>
        </is>
      </c>
      <c r="H204" s="68" t="inlineStr">
        <is>
          <t>지원 링크 ↗</t>
        </is>
      </c>
    </row>
    <row r="205">
      <c r="A205" s="66" t="n">
        <v>204</v>
      </c>
      <c r="B205" s="67" t="inlineStr">
        <is>
          <t>leonardo</t>
        </is>
      </c>
      <c r="C205" s="67" t="inlineStr">
        <is>
          <t>Summer Placement Software Engineer</t>
        </is>
      </c>
      <c r="D205" s="67" t="inlineStr">
        <is>
          <t>Software Engineering</t>
        </is>
      </c>
      <c r="E205" s="67" t="n"/>
      <c r="F205" s="66" t="inlineStr">
        <is>
          <t>N/A</t>
        </is>
      </c>
      <c r="G205" s="66" t="inlineStr">
        <is>
          <t>Rolling / Unspecified</t>
        </is>
      </c>
      <c r="H205" s="66" t="inlineStr">
        <is>
          <t>미제공 (포털직접)</t>
        </is>
      </c>
    </row>
    <row r="206">
      <c r="A206" s="66" t="n">
        <v>205</v>
      </c>
      <c r="B206" s="67" t="inlineStr">
        <is>
          <t>brevan-howard</t>
        </is>
      </c>
      <c r="C206" s="67" t="inlineStr">
        <is>
          <t>2027 Summer Internship – Systematic Data Engineering</t>
        </is>
      </c>
      <c r="D206" s="67" t="inlineStr">
        <is>
          <t>Data Science</t>
        </is>
      </c>
      <c r="E206" s="67" t="n"/>
      <c r="F206" s="66" t="inlineStr">
        <is>
          <t>N/A</t>
        </is>
      </c>
      <c r="G206" s="66" t="inlineStr">
        <is>
          <t>Rolling / Unspecified</t>
        </is>
      </c>
      <c r="H206" s="66" t="inlineStr">
        <is>
          <t>미제공 (포털직접)</t>
        </is>
      </c>
    </row>
    <row r="207">
      <c r="A207" s="66" t="n">
        <v>206</v>
      </c>
      <c r="B207" s="67" t="inlineStr">
        <is>
          <t>salesforce</t>
        </is>
      </c>
      <c r="C207" s="67" t="inlineStr">
        <is>
          <t>2027 Software Engineering Intern (Dublin)</t>
        </is>
      </c>
      <c r="D207" s="67" t="inlineStr">
        <is>
          <t>Software Engineering</t>
        </is>
      </c>
      <c r="E207" s="67" t="n"/>
      <c r="F207" s="66" t="inlineStr">
        <is>
          <t>N/A</t>
        </is>
      </c>
      <c r="G207" s="66" t="inlineStr">
        <is>
          <t>Rolling / Unspecified</t>
        </is>
      </c>
      <c r="H207" s="66" t="inlineStr">
        <is>
          <t>미제공 (포털직접)</t>
        </is>
      </c>
    </row>
    <row r="208">
      <c r="A208" s="66" t="n">
        <v>207</v>
      </c>
      <c r="B208" s="67" t="inlineStr">
        <is>
          <t>bending-spoons</t>
        </is>
      </c>
      <c r="C208" s="67" t="inlineStr">
        <is>
          <t>Software engineer, summer intern UK</t>
        </is>
      </c>
      <c r="D208" s="67" t="inlineStr">
        <is>
          <t>Software Engineering, Promoted</t>
        </is>
      </c>
      <c r="E208" s="67" t="n"/>
      <c r="F208" s="66" t="inlineStr">
        <is>
          <t>N/A</t>
        </is>
      </c>
      <c r="G208" s="66" t="inlineStr">
        <is>
          <t>Rolling / Unspecified</t>
        </is>
      </c>
      <c r="H208" s="68" t="inlineStr">
        <is>
          <t>지원 링크 ↗</t>
        </is>
      </c>
    </row>
    <row r="209">
      <c r="A209" s="66" t="n">
        <v>208</v>
      </c>
      <c r="B209" s="67" t="inlineStr">
        <is>
          <t>ttp</t>
        </is>
      </c>
      <c r="C209" s="67" t="inlineStr">
        <is>
          <t>Summer Internship - Software Engineering Consultant - 2027</t>
        </is>
      </c>
      <c r="D209" s="67" t="inlineStr">
        <is>
          <t>Tech Consulting</t>
        </is>
      </c>
      <c r="E209" s="67" t="n"/>
      <c r="F209" s="66" t="inlineStr">
        <is>
          <t>N/A</t>
        </is>
      </c>
      <c r="G209" s="66" t="inlineStr">
        <is>
          <t>Rolling / Unspecified</t>
        </is>
      </c>
      <c r="H209" s="68" t="inlineStr">
        <is>
          <t>지원 링크 ↗</t>
        </is>
      </c>
    </row>
    <row r="210">
      <c r="A210" s="66" t="n">
        <v>209</v>
      </c>
      <c r="B210" s="67" t="inlineStr">
        <is>
          <t>convergent</t>
        </is>
      </c>
      <c r="C210" s="67" t="inlineStr">
        <is>
          <t>Software Engineer Intern</t>
        </is>
      </c>
      <c r="D210" s="67" t="inlineStr">
        <is>
          <t>Software Engineering</t>
        </is>
      </c>
      <c r="E210" s="67" t="n"/>
      <c r="F210" s="66" t="inlineStr">
        <is>
          <t>N/A</t>
        </is>
      </c>
      <c r="G210" s="66" t="inlineStr">
        <is>
          <t>Rolling / Unspecified</t>
        </is>
      </c>
      <c r="H210" s="66" t="inlineStr">
        <is>
          <t>미제공 (포털직접)</t>
        </is>
      </c>
    </row>
    <row r="211">
      <c r="A211" s="66" t="n">
        <v>210</v>
      </c>
      <c r="B211" s="67" t="inlineStr">
        <is>
          <t>pgim</t>
        </is>
      </c>
      <c r="C211" s="67" t="inlineStr">
        <is>
          <t>Technology Internship Program</t>
        </is>
      </c>
      <c r="D211" s="67" t="inlineStr">
        <is>
          <t>Software Engineering</t>
        </is>
      </c>
      <c r="E211" s="67" t="n"/>
      <c r="F211" s="66" t="inlineStr">
        <is>
          <t>N/A</t>
        </is>
      </c>
      <c r="G211" s="66" t="inlineStr">
        <is>
          <t>Rolling / Unspecified</t>
        </is>
      </c>
      <c r="H211" s="66" t="inlineStr">
        <is>
          <t>미제공 (포털직접)</t>
        </is>
      </c>
    </row>
    <row r="212">
      <c r="A212" s="66" t="n">
        <v>211</v>
      </c>
      <c r="B212" s="67" t="inlineStr">
        <is>
          <t>hubspot</t>
        </is>
      </c>
      <c r="C212" s="67" t="inlineStr">
        <is>
          <t>Software Engineer Internship Program</t>
        </is>
      </c>
      <c r="D212" s="67" t="inlineStr">
        <is>
          <t>Software Engineering</t>
        </is>
      </c>
      <c r="E212" s="67" t="n"/>
      <c r="F212" s="66" t="inlineStr">
        <is>
          <t>N/A</t>
        </is>
      </c>
      <c r="G212" s="66" t="inlineStr">
        <is>
          <t>Rolling / Unspecified</t>
        </is>
      </c>
      <c r="H212" s="66" t="inlineStr">
        <is>
          <t>미제공 (포털직접)</t>
        </is>
      </c>
    </row>
    <row r="213">
      <c r="A213" s="66" t="n">
        <v>212</v>
      </c>
      <c r="B213" s="67" t="inlineStr">
        <is>
          <t>aquatic-capital-management</t>
        </is>
      </c>
      <c r="C213" s="67" t="inlineStr">
        <is>
          <t>Software Engineer, Intern (Summer 2027)</t>
        </is>
      </c>
      <c r="D213" s="67" t="inlineStr">
        <is>
          <t>Quant Developer</t>
        </is>
      </c>
      <c r="E213" s="67" t="n"/>
      <c r="F213" s="66" t="inlineStr">
        <is>
          <t>N/A</t>
        </is>
      </c>
      <c r="G213" s="66" t="inlineStr">
        <is>
          <t>Rolling / Unspecified</t>
        </is>
      </c>
      <c r="H213" s="66" t="inlineStr">
        <is>
          <t>미제공 (포털직접)</t>
        </is>
      </c>
    </row>
    <row r="214">
      <c r="A214" s="66" t="n">
        <v>213</v>
      </c>
      <c r="B214" s="67" t="inlineStr">
        <is>
          <t>capgemini</t>
        </is>
      </c>
      <c r="C214" s="67" t="inlineStr">
        <is>
          <t>Internship Consulting or Technical routes 2027</t>
        </is>
      </c>
      <c r="D214" s="67" t="inlineStr">
        <is>
          <t>Software Engineering</t>
        </is>
      </c>
      <c r="E214" s="67" t="n"/>
      <c r="F214" s="66" t="inlineStr">
        <is>
          <t>N/A</t>
        </is>
      </c>
      <c r="G214" s="66" t="inlineStr">
        <is>
          <t>Rolling / Unspecified</t>
        </is>
      </c>
      <c r="H214" s="66" t="inlineStr">
        <is>
          <t>미제공 (포털직접)</t>
        </is>
      </c>
    </row>
    <row r="215">
      <c r="A215" s="66" t="n">
        <v>214</v>
      </c>
      <c r="B215" s="67" t="inlineStr">
        <is>
          <t>gearset</t>
        </is>
      </c>
      <c r="C215" s="67" t="inlineStr">
        <is>
          <t>Software Engineering Intern 2027</t>
        </is>
      </c>
      <c r="D215" s="67" t="inlineStr">
        <is>
          <t>Software Engineering</t>
        </is>
      </c>
      <c r="E215" s="67" t="n"/>
      <c r="F215" s="66" t="inlineStr">
        <is>
          <t>N/A</t>
        </is>
      </c>
      <c r="G215" s="66" t="inlineStr">
        <is>
          <t>Rolling / Unspecified</t>
        </is>
      </c>
      <c r="H215" s="66" t="inlineStr">
        <is>
          <t>미제공 (포털직접)</t>
        </is>
      </c>
    </row>
    <row r="216">
      <c r="A216" s="66" t="n">
        <v>215</v>
      </c>
      <c r="B216" s="67" t="inlineStr">
        <is>
          <t>runna</t>
        </is>
      </c>
      <c r="C216" s="67" t="inlineStr">
        <is>
          <t>Software Engineering Intern, App</t>
        </is>
      </c>
      <c r="D216" s="67" t="inlineStr">
        <is>
          <t>Software Engineering</t>
        </is>
      </c>
      <c r="E216" s="67" t="n"/>
      <c r="F216" s="66" t="inlineStr">
        <is>
          <t>N/A</t>
        </is>
      </c>
      <c r="G216" s="66" t="inlineStr">
        <is>
          <t>Rolling / Unspecified</t>
        </is>
      </c>
      <c r="H216" s="66" t="inlineStr">
        <is>
          <t>미제공 (포털직접)</t>
        </is>
      </c>
    </row>
    <row r="217">
      <c r="A217" s="66" t="n">
        <v>216</v>
      </c>
      <c r="B217" s="67" t="inlineStr">
        <is>
          <t>te-connectivity</t>
        </is>
      </c>
      <c r="C217" s="67" t="inlineStr">
        <is>
          <t>Software Engineer Intern</t>
        </is>
      </c>
      <c r="D217" s="67" t="inlineStr">
        <is>
          <t>Software Engineering</t>
        </is>
      </c>
      <c r="E217" s="67" t="n"/>
      <c r="F217" s="66" t="inlineStr">
        <is>
          <t>N/A</t>
        </is>
      </c>
      <c r="G217" s="66" t="inlineStr">
        <is>
          <t>Rolling / Unspecified</t>
        </is>
      </c>
      <c r="H217" s="66" t="inlineStr">
        <is>
          <t>미제공 (포털직접)</t>
        </is>
      </c>
    </row>
    <row r="218">
      <c r="A218" s="66" t="n">
        <v>217</v>
      </c>
      <c r="B218" s="67" t="inlineStr">
        <is>
          <t>oxford-nanopore-technologies</t>
        </is>
      </c>
      <c r="C218" s="67" t="inlineStr">
        <is>
          <t>Machine Learning Intern</t>
        </is>
      </c>
      <c r="D218" s="67" t="inlineStr">
        <is>
          <t>AI and Machine Learning</t>
        </is>
      </c>
      <c r="E218" s="67" t="n"/>
      <c r="F218" s="66" t="inlineStr">
        <is>
          <t>N/A</t>
        </is>
      </c>
      <c r="G218" s="66" t="inlineStr">
        <is>
          <t>Rolling / Unspecified</t>
        </is>
      </c>
      <c r="H218" s="66" t="inlineStr">
        <is>
          <t>미제공 (포털직접)</t>
        </is>
      </c>
    </row>
    <row r="219">
      <c r="A219" s="66" t="n">
        <v>218</v>
      </c>
      <c r="B219" s="67" t="inlineStr">
        <is>
          <t>cirrus-logic</t>
        </is>
      </c>
      <c r="C219" s="67" t="inlineStr">
        <is>
          <t>Software Developer Internship</t>
        </is>
      </c>
      <c r="D219" s="67" t="inlineStr">
        <is>
          <t>Software Engineering</t>
        </is>
      </c>
      <c r="E219" s="67" t="n"/>
      <c r="F219" s="66" t="inlineStr">
        <is>
          <t>N/A</t>
        </is>
      </c>
      <c r="G219" s="66" t="inlineStr">
        <is>
          <t>Rolling / Unspecified</t>
        </is>
      </c>
      <c r="H219" s="66" t="inlineStr">
        <is>
          <t>미제공 (포털직접)</t>
        </is>
      </c>
    </row>
    <row r="220">
      <c r="A220" s="66" t="n">
        <v>219</v>
      </c>
      <c r="B220" s="67" t="inlineStr">
        <is>
          <t>keysight</t>
        </is>
      </c>
      <c r="C220" s="67" t="inlineStr">
        <is>
          <t>Software Engineering Internship</t>
        </is>
      </c>
      <c r="D220" s="67" t="inlineStr">
        <is>
          <t>Software Engineering</t>
        </is>
      </c>
      <c r="E220" s="67" t="n"/>
      <c r="F220" s="66" t="inlineStr">
        <is>
          <t>N/A</t>
        </is>
      </c>
      <c r="G220" s="66" t="inlineStr">
        <is>
          <t>Rolling / Unspecified</t>
        </is>
      </c>
      <c r="H220" s="66" t="inlineStr">
        <is>
          <t>미제공 (포털직접)</t>
        </is>
      </c>
    </row>
    <row r="221">
      <c r="A221" s="66" t="n">
        <v>220</v>
      </c>
      <c r="B221" s="67" t="inlineStr">
        <is>
          <t>the-trade-desk</t>
        </is>
      </c>
      <c r="C221" s="67" t="inlineStr">
        <is>
          <t>2027 Summer Intern - Software Engineer</t>
        </is>
      </c>
      <c r="D221" s="67" t="inlineStr">
        <is>
          <t>Software Engineering</t>
        </is>
      </c>
      <c r="E221" s="67" t="n"/>
      <c r="F221" s="66" t="inlineStr">
        <is>
          <t>N/A</t>
        </is>
      </c>
      <c r="G221" s="66" t="inlineStr">
        <is>
          <t>Rolling / Unspecified</t>
        </is>
      </c>
      <c r="H221" s="66" t="inlineStr">
        <is>
          <t>미제공 (포털직접)</t>
        </is>
      </c>
    </row>
    <row r="222">
      <c r="A222" s="66" t="n">
        <v>221</v>
      </c>
      <c r="B222" s="67" t="inlineStr">
        <is>
          <t>bloomberg</t>
        </is>
      </c>
      <c r="C222" s="67" t="inlineStr">
        <is>
          <t>2027 Software Engineer Internship</t>
        </is>
      </c>
      <c r="D222" s="67" t="inlineStr">
        <is>
          <t>Software Engineering</t>
        </is>
      </c>
      <c r="E222" s="67" t="n"/>
      <c r="F222" s="66" t="inlineStr">
        <is>
          <t>N/A</t>
        </is>
      </c>
      <c r="G222" s="66" t="inlineStr">
        <is>
          <t>Rolling / Unspecified</t>
        </is>
      </c>
      <c r="H222" s="66" t="inlineStr">
        <is>
          <t>미제공 (포털직접)</t>
        </is>
      </c>
    </row>
    <row r="223">
      <c r="A223" s="66" t="n">
        <v>222</v>
      </c>
      <c r="B223" s="67" t="inlineStr">
        <is>
          <t>imc-trading</t>
        </is>
      </c>
      <c r="C223" s="67" t="inlineStr">
        <is>
          <t>Women in Technology</t>
        </is>
      </c>
      <c r="D223" s="67" t="inlineStr">
        <is>
          <t>Quant Developer</t>
        </is>
      </c>
      <c r="E223" s="67" t="n"/>
      <c r="F223" s="66" t="inlineStr">
        <is>
          <t>N/A</t>
        </is>
      </c>
      <c r="G223" s="66" t="inlineStr">
        <is>
          <t>Rolling / Unspecified</t>
        </is>
      </c>
      <c r="H223" s="66" t="inlineStr">
        <is>
          <t>미제공 (포털직접)</t>
        </is>
      </c>
    </row>
    <row r="224">
      <c r="A224" s="66" t="n">
        <v>223</v>
      </c>
      <c r="B224" s="67" t="inlineStr">
        <is>
          <t>bristol-myers-squibb</t>
        </is>
      </c>
      <c r="C224" s="67" t="inlineStr">
        <is>
          <t>Intern, Statistical Programming</t>
        </is>
      </c>
      <c r="D224" s="67" t="inlineStr">
        <is>
          <t>Data Science</t>
        </is>
      </c>
      <c r="E224" s="67" t="n"/>
      <c r="F224" s="66" t="inlineStr">
        <is>
          <t>N/A</t>
        </is>
      </c>
      <c r="G224" s="66" t="inlineStr">
        <is>
          <t>Rolling / Unspecified</t>
        </is>
      </c>
      <c r="H224" s="66" t="inlineStr">
        <is>
          <t>미제공 (포털직접)</t>
        </is>
      </c>
    </row>
    <row r="225">
      <c r="A225" s="66" t="n">
        <v>224</v>
      </c>
      <c r="B225" s="67" t="inlineStr">
        <is>
          <t>nordic-semiconductor</t>
        </is>
      </c>
      <c r="C225" s="67" t="inlineStr">
        <is>
          <t>UK Internships &amp; Placements 2027 - Wi-Fi</t>
        </is>
      </c>
      <c r="D225" s="67" t="inlineStr">
        <is>
          <t>Software Engineering</t>
        </is>
      </c>
      <c r="E225" s="67" t="n"/>
      <c r="F225" s="66" t="inlineStr">
        <is>
          <t>N/A</t>
        </is>
      </c>
      <c r="G225" s="66" t="inlineStr">
        <is>
          <t>Rolling / Unspecified</t>
        </is>
      </c>
      <c r="H225" s="66" t="inlineStr">
        <is>
          <t>미제공 (포털직접)</t>
        </is>
      </c>
    </row>
    <row r="226">
      <c r="A226" s="66" t="n">
        <v>225</v>
      </c>
      <c r="B226" s="67" t="inlineStr">
        <is>
          <t>nannie</t>
        </is>
      </c>
      <c r="C226" s="67" t="inlineStr">
        <is>
          <t>AI Startup Internship</t>
        </is>
      </c>
      <c r="D226" s="67" t="inlineStr">
        <is>
          <t>Startups</t>
        </is>
      </c>
      <c r="E226" s="67" t="n"/>
      <c r="F226" s="66" t="inlineStr">
        <is>
          <t>N/A</t>
        </is>
      </c>
      <c r="G226" s="66" t="inlineStr">
        <is>
          <t>Rolling / Unspecified</t>
        </is>
      </c>
      <c r="H226" s="66" t="inlineStr">
        <is>
          <t>미제공 (포털직접)</t>
        </is>
      </c>
    </row>
    <row r="227">
      <c r="A227" s="66" t="n">
        <v>226</v>
      </c>
      <c r="B227" s="67" t="inlineStr">
        <is>
          <t>autodesk</t>
        </is>
      </c>
      <c r="C227" s="67" t="inlineStr">
        <is>
          <t>Intern, Software Engineer</t>
        </is>
      </c>
      <c r="D227" s="67" t="inlineStr">
        <is>
          <t>Software Engineering</t>
        </is>
      </c>
      <c r="E227" s="67" t="n"/>
      <c r="F227" s="66" t="inlineStr">
        <is>
          <t>N/A</t>
        </is>
      </c>
      <c r="G227" s="66" t="inlineStr">
        <is>
          <t>Rolling / Unspecified</t>
        </is>
      </c>
      <c r="H227" s="66" t="inlineStr">
        <is>
          <t>미제공 (포털직접)</t>
        </is>
      </c>
    </row>
    <row r="228">
      <c r="A228" s="66" t="n">
        <v>227</v>
      </c>
      <c r="B228" s="67" t="inlineStr">
        <is>
          <t>unlikelyai</t>
        </is>
      </c>
      <c r="C228" s="67" t="inlineStr">
        <is>
          <t>Machine Learning Engineer Intern</t>
        </is>
      </c>
      <c r="D228" s="67" t="inlineStr">
        <is>
          <t>AI and Machine Learning</t>
        </is>
      </c>
      <c r="E228" s="67" t="n"/>
      <c r="F228" s="66" t="inlineStr">
        <is>
          <t>N/A</t>
        </is>
      </c>
      <c r="G228" s="66" t="inlineStr">
        <is>
          <t>Rolling / Unspecified</t>
        </is>
      </c>
      <c r="H228" s="66" t="inlineStr">
        <is>
          <t>미제공 (포털직접)</t>
        </is>
      </c>
    </row>
    <row r="229">
      <c r="A229" s="66" t="n">
        <v>228</v>
      </c>
      <c r="B229" s="67" t="inlineStr">
        <is>
          <t>tradeweb</t>
        </is>
      </c>
      <c r="C229" s="67" t="inlineStr">
        <is>
          <t>Summer 2027 Developer Internship</t>
        </is>
      </c>
      <c r="D229" s="67" t="inlineStr">
        <is>
          <t>Software Engineering</t>
        </is>
      </c>
      <c r="E229" s="67" t="n"/>
      <c r="F229" s="66" t="inlineStr">
        <is>
          <t>N/A</t>
        </is>
      </c>
      <c r="G229" s="66" t="inlineStr">
        <is>
          <t>2026-09-16T00:00:00.000Z</t>
        </is>
      </c>
      <c r="H229" s="68" t="inlineStr">
        <is>
          <t>지원 링크 ↗</t>
        </is>
      </c>
    </row>
    <row r="230">
      <c r="A230" s="66" t="n">
        <v>229</v>
      </c>
      <c r="B230" s="67" t="inlineStr">
        <is>
          <t>usertesting</t>
        </is>
      </c>
      <c r="C230" s="67" t="inlineStr">
        <is>
          <t>Software Engineer Intern</t>
        </is>
      </c>
      <c r="D230" s="67" t="inlineStr">
        <is>
          <t>Software Engineering</t>
        </is>
      </c>
      <c r="E230" s="67" t="n"/>
      <c r="F230" s="66" t="inlineStr">
        <is>
          <t>N/A</t>
        </is>
      </c>
      <c r="G230" s="66" t="inlineStr">
        <is>
          <t>Rolling / Unspecified</t>
        </is>
      </c>
      <c r="H230" s="66" t="inlineStr">
        <is>
          <t>미제공 (포털직접)</t>
        </is>
      </c>
    </row>
    <row r="231">
      <c r="A231" s="66" t="n">
        <v>230</v>
      </c>
      <c r="B231" s="67" t="inlineStr">
        <is>
          <t>aize</t>
        </is>
      </c>
      <c r="C231" s="67" t="inlineStr">
        <is>
          <t>Software Engineering Intern</t>
        </is>
      </c>
      <c r="D231" s="67" t="inlineStr">
        <is>
          <t>Software Engineering</t>
        </is>
      </c>
      <c r="E231" s="67" t="n"/>
      <c r="F231" s="66" t="inlineStr">
        <is>
          <t>N/A</t>
        </is>
      </c>
      <c r="G231" s="66" t="inlineStr">
        <is>
          <t>Rolling / Unspecified</t>
        </is>
      </c>
      <c r="H231" s="66" t="inlineStr">
        <is>
          <t>미제공 (포털직접)</t>
        </is>
      </c>
    </row>
    <row r="232">
      <c r="A232" s="66" t="n">
        <v>231</v>
      </c>
      <c r="B232" s="67" t="inlineStr">
        <is>
          <t>bose</t>
        </is>
      </c>
      <c r="C232" s="67" t="inlineStr">
        <is>
          <t>Audio Machine Learning Intern</t>
        </is>
      </c>
      <c r="D232" s="67" t="inlineStr">
        <is>
          <t>AI and Machine Learning</t>
        </is>
      </c>
      <c r="E232" s="67" t="n"/>
      <c r="F232" s="66" t="inlineStr">
        <is>
          <t>N/A</t>
        </is>
      </c>
      <c r="G232" s="66" t="inlineStr">
        <is>
          <t>Rolling / Unspecified</t>
        </is>
      </c>
      <c r="H232" s="66" t="inlineStr">
        <is>
          <t>미제공 (포털직접)</t>
        </is>
      </c>
    </row>
    <row r="233">
      <c r="A233" s="66" t="n">
        <v>232</v>
      </c>
      <c r="B233" s="67" t="inlineStr">
        <is>
          <t>aventum-group</t>
        </is>
      </c>
      <c r="C233" s="67" t="inlineStr">
        <is>
          <t>IT Intern</t>
        </is>
      </c>
      <c r="D233" s="67" t="inlineStr">
        <is>
          <t>IT</t>
        </is>
      </c>
      <c r="E233" s="67" t="n"/>
      <c r="F233" s="66" t="inlineStr">
        <is>
          <t>N/A</t>
        </is>
      </c>
      <c r="G233" s="66" t="inlineStr">
        <is>
          <t>Rolling / Unspecified</t>
        </is>
      </c>
      <c r="H233" s="66" t="inlineStr">
        <is>
          <t>미제공 (포털직접)</t>
        </is>
      </c>
    </row>
    <row r="234">
      <c r="A234" s="66" t="n">
        <v>233</v>
      </c>
      <c r="B234" s="67" t="inlineStr">
        <is>
          <t>cboe-global-markets</t>
        </is>
      </c>
      <c r="C234" s="67" t="inlineStr">
        <is>
          <t>Intern - DPE (Data Pipeline Engineering)</t>
        </is>
      </c>
      <c r="D234" s="67" t="inlineStr">
        <is>
          <t>Data Science</t>
        </is>
      </c>
      <c r="E234" s="67" t="n"/>
      <c r="F234" s="66" t="inlineStr">
        <is>
          <t>N/A</t>
        </is>
      </c>
      <c r="G234" s="66" t="inlineStr">
        <is>
          <t>Rolling / Unspecified</t>
        </is>
      </c>
      <c r="H234" s="66" t="inlineStr">
        <is>
          <t>미제공 (포털직접)</t>
        </is>
      </c>
    </row>
    <row r="235">
      <c r="A235" s="66" t="n">
        <v>234</v>
      </c>
      <c r="B235" s="67" t="inlineStr">
        <is>
          <t>baillie-gifford</t>
        </is>
      </c>
      <c r="C235" s="67" t="inlineStr">
        <is>
          <t>Software Engineering &amp; Innovation Summer Internship 2027</t>
        </is>
      </c>
      <c r="D235" s="67" t="inlineStr">
        <is>
          <t>DevOps and Infrastructure, Software Engineering</t>
        </is>
      </c>
      <c r="E235" s="67" t="n"/>
      <c r="F235" s="66" t="inlineStr">
        <is>
          <t>N/A</t>
        </is>
      </c>
      <c r="G235" s="66" t="inlineStr">
        <is>
          <t>2026-11-03T00:00:00.000Z</t>
        </is>
      </c>
      <c r="H235" s="68" t="inlineStr">
        <is>
          <t>지원 링크 ↗</t>
        </is>
      </c>
    </row>
    <row r="236">
      <c r="A236" s="66" t="n">
        <v>235</v>
      </c>
      <c r="B236" s="67" t="inlineStr">
        <is>
          <t>bose</t>
        </is>
      </c>
      <c r="C236" s="67" t="inlineStr">
        <is>
          <t>Audio Machine Learning Research Intern</t>
        </is>
      </c>
      <c r="D236" s="67" t="inlineStr">
        <is>
          <t>AI and Machine Learning</t>
        </is>
      </c>
      <c r="E236" s="67" t="n"/>
      <c r="F236" s="66" t="inlineStr">
        <is>
          <t>N/A</t>
        </is>
      </c>
      <c r="G236" s="66" t="inlineStr">
        <is>
          <t>Rolling / Unspecified</t>
        </is>
      </c>
      <c r="H236" s="66" t="inlineStr">
        <is>
          <t>미제공 (포털직접)</t>
        </is>
      </c>
    </row>
    <row r="237">
      <c r="A237" s="66" t="n">
        <v>236</v>
      </c>
      <c r="B237" s="67" t="inlineStr">
        <is>
          <t>m-g</t>
        </is>
      </c>
      <c r="C237" s="67" t="inlineStr">
        <is>
          <t>Summer Internship</t>
        </is>
      </c>
      <c r="D237" s="67" t="inlineStr">
        <is>
          <t>Software Engineering</t>
        </is>
      </c>
      <c r="E237" s="67" t="n"/>
      <c r="F237" s="66" t="inlineStr">
        <is>
          <t>N/A</t>
        </is>
      </c>
      <c r="G237" s="66" t="inlineStr">
        <is>
          <t>Rolling / Unspecified</t>
        </is>
      </c>
      <c r="H237" s="66" t="inlineStr">
        <is>
          <t>미제공 (포털직접)</t>
        </is>
      </c>
    </row>
    <row r="238">
      <c r="A238" s="66" t="n">
        <v>237</v>
      </c>
      <c r="B238" s="67" t="inlineStr">
        <is>
          <t>compare-the-market</t>
        </is>
      </c>
      <c r="C238" s="67" t="inlineStr">
        <is>
          <t>Software Engineer Intern</t>
        </is>
      </c>
      <c r="D238" s="67" t="inlineStr">
        <is>
          <t>Software Engineering</t>
        </is>
      </c>
      <c r="E238" s="67" t="n"/>
      <c r="F238" s="66" t="inlineStr">
        <is>
          <t>N/A</t>
        </is>
      </c>
      <c r="G238" s="66" t="inlineStr">
        <is>
          <t>Rolling / Unspecified</t>
        </is>
      </c>
      <c r="H238" s="66" t="inlineStr">
        <is>
          <t>미제공 (포털직접)</t>
        </is>
      </c>
    </row>
    <row r="239">
      <c r="A239" s="66" t="n">
        <v>238</v>
      </c>
      <c r="B239" s="67" t="inlineStr">
        <is>
          <t>thought-machine</t>
        </is>
      </c>
      <c r="C239" s="67" t="inlineStr">
        <is>
          <t>Software Engineering Intern</t>
        </is>
      </c>
      <c r="D239" s="67" t="inlineStr">
        <is>
          <t>Software Engineering</t>
        </is>
      </c>
      <c r="E239" s="67" t="n"/>
      <c r="F239" s="66" t="inlineStr">
        <is>
          <t>N/A</t>
        </is>
      </c>
      <c r="G239" s="66" t="inlineStr">
        <is>
          <t>Rolling / Unspecified</t>
        </is>
      </c>
      <c r="H239" s="66" t="inlineStr">
        <is>
          <t>미제공 (포털직접)</t>
        </is>
      </c>
    </row>
    <row r="240">
      <c r="A240" s="66" t="n">
        <v>239</v>
      </c>
      <c r="B240" s="67" t="inlineStr">
        <is>
          <t>deutsche-bank</t>
        </is>
      </c>
      <c r="C240" s="67" t="inlineStr">
        <is>
          <t>Internship Programme - Technology, Data &amp; Innovation</t>
        </is>
      </c>
      <c r="D240" s="67" t="inlineStr">
        <is>
          <t>Software Engineering</t>
        </is>
      </c>
      <c r="E240" s="67" t="n"/>
      <c r="F240" s="66" t="inlineStr">
        <is>
          <t>N/A</t>
        </is>
      </c>
      <c r="G240" s="66" t="inlineStr">
        <is>
          <t>Rolling / Unspecified</t>
        </is>
      </c>
      <c r="H240" s="66" t="inlineStr">
        <is>
          <t>미제공 (포털직접)</t>
        </is>
      </c>
    </row>
    <row r="241">
      <c r="A241" s="66" t="n">
        <v>240</v>
      </c>
      <c r="B241" s="67" t="inlineStr">
        <is>
          <t>snyk</t>
        </is>
      </c>
      <c r="C241" s="67" t="inlineStr">
        <is>
          <t>Software Engineer Intern</t>
        </is>
      </c>
      <c r="D241" s="67" t="inlineStr">
        <is>
          <t>Software Engineering</t>
        </is>
      </c>
      <c r="E241" s="67" t="n"/>
      <c r="F241" s="66" t="inlineStr">
        <is>
          <t>N/A</t>
        </is>
      </c>
      <c r="G241" s="66" t="inlineStr">
        <is>
          <t>Rolling / Unspecified</t>
        </is>
      </c>
      <c r="H241" s="66" t="inlineStr">
        <is>
          <t>미제공 (포털직접)</t>
        </is>
      </c>
    </row>
    <row r="242">
      <c r="A242" s="66" t="n">
        <v>241</v>
      </c>
      <c r="B242" s="67" t="inlineStr">
        <is>
          <t>axa</t>
        </is>
      </c>
      <c r="C242" s="67" t="inlineStr">
        <is>
          <t>Intern (IDA - Data Science and AI)</t>
        </is>
      </c>
      <c r="D242" s="67" t="inlineStr">
        <is>
          <t>Data Science</t>
        </is>
      </c>
      <c r="E242" s="67" t="n"/>
      <c r="F242" s="66" t="inlineStr">
        <is>
          <t>N/A</t>
        </is>
      </c>
      <c r="G242" s="66" t="inlineStr">
        <is>
          <t>Rolling / Unspecified</t>
        </is>
      </c>
      <c r="H242" s="66" t="inlineStr">
        <is>
          <t>미제공 (포털직접)</t>
        </is>
      </c>
    </row>
    <row r="243">
      <c r="A243" s="66" t="n">
        <v>242</v>
      </c>
      <c r="B243" s="67" t="inlineStr">
        <is>
          <t>binome</t>
        </is>
      </c>
      <c r="C243" s="67" t="inlineStr">
        <is>
          <t>AI Engineer Intern</t>
        </is>
      </c>
      <c r="D243" s="67" t="inlineStr">
        <is>
          <t>Startups</t>
        </is>
      </c>
      <c r="E243" s="67" t="n"/>
      <c r="F243" s="66" t="inlineStr">
        <is>
          <t>N/A</t>
        </is>
      </c>
      <c r="G243" s="66" t="inlineStr">
        <is>
          <t>Rolling / Unspecified</t>
        </is>
      </c>
      <c r="H243" s="66" t="inlineStr">
        <is>
          <t>미제공 (포털직접)</t>
        </is>
      </c>
    </row>
    <row r="244">
      <c r="A244" s="66" t="n">
        <v>243</v>
      </c>
      <c r="B244" s="67" t="inlineStr">
        <is>
          <t>bank-of-america</t>
        </is>
      </c>
      <c r="C244" s="67" t="inlineStr">
        <is>
          <t>Software Engineer Summer 2027 Analyst</t>
        </is>
      </c>
      <c r="D244" s="67" t="inlineStr">
        <is>
          <t>Software Engineering, DevOps and Infrastructure, Cyber Security</t>
        </is>
      </c>
      <c r="E244" s="67" t="n"/>
      <c r="F244" s="66" t="inlineStr">
        <is>
          <t>N/A</t>
        </is>
      </c>
      <c r="G244" s="66" t="inlineStr">
        <is>
          <t>2026-10-11T00:00:00.000Z</t>
        </is>
      </c>
      <c r="H244" s="68" t="inlineStr">
        <is>
          <t>지원 링크 ↗</t>
        </is>
      </c>
    </row>
    <row r="245">
      <c r="A245" s="66" t="n">
        <v>244</v>
      </c>
      <c r="B245" s="67" t="inlineStr">
        <is>
          <t>shell</t>
        </is>
      </c>
      <c r="C245" s="67" t="inlineStr">
        <is>
          <t>Assessed Internship Programme 2027</t>
        </is>
      </c>
      <c r="D245" s="67" t="inlineStr">
        <is>
          <t>Software Engineering, Promoted</t>
        </is>
      </c>
      <c r="E245" s="67" t="n"/>
      <c r="F245" s="66" t="inlineStr">
        <is>
          <t>N/A</t>
        </is>
      </c>
      <c r="G245" s="66" t="inlineStr">
        <is>
          <t>2027-01-31T00:00:00.000Z</t>
        </is>
      </c>
      <c r="H245" s="68" t="inlineStr">
        <is>
          <t>지원 링크 ↗</t>
        </is>
      </c>
    </row>
    <row r="246">
      <c r="A246" s="66" t="n">
        <v>245</v>
      </c>
      <c r="B246" s="67" t="inlineStr">
        <is>
          <t>mufg</t>
        </is>
      </c>
      <c r="C246" s="67" t="inlineStr">
        <is>
          <t>2027 Summer Internship Programme: Technology</t>
        </is>
      </c>
      <c r="D246" s="67" t="inlineStr">
        <is>
          <t>Software Engineering</t>
        </is>
      </c>
      <c r="E246" s="67" t="n"/>
      <c r="F246" s="66" t="inlineStr">
        <is>
          <t>N/A</t>
        </is>
      </c>
      <c r="G246" s="66" t="inlineStr">
        <is>
          <t>Rolling / Unspecified</t>
        </is>
      </c>
      <c r="H246" s="66" t="inlineStr">
        <is>
          <t>미제공 (포털직접)</t>
        </is>
      </c>
    </row>
    <row r="247">
      <c r="A247" s="66" t="n">
        <v>246</v>
      </c>
      <c r="B247" s="67" t="inlineStr">
        <is>
          <t>ciena</t>
        </is>
      </c>
      <c r="C247" s="67" t="inlineStr">
        <is>
          <t>Data Science/Analyst Intern</t>
        </is>
      </c>
      <c r="D247" s="67" t="inlineStr">
        <is>
          <t>Data Science</t>
        </is>
      </c>
      <c r="E247" s="67" t="n"/>
      <c r="F247" s="66" t="inlineStr">
        <is>
          <t>N/A</t>
        </is>
      </c>
      <c r="G247" s="66" t="inlineStr">
        <is>
          <t>Rolling / Unspecified</t>
        </is>
      </c>
      <c r="H247" s="66" t="inlineStr">
        <is>
          <t>미제공 (포털직접)</t>
        </is>
      </c>
    </row>
    <row r="248">
      <c r="A248" s="66" t="n">
        <v>247</v>
      </c>
      <c r="B248" s="67" t="inlineStr">
        <is>
          <t>balyasny-asset-management</t>
        </is>
      </c>
      <c r="C248" s="67" t="inlineStr">
        <is>
          <t>Quantitative Developer, Systematic Investment Teams (Summer Internship)</t>
        </is>
      </c>
      <c r="D248" s="67" t="inlineStr">
        <is>
          <t>Quant Developer</t>
        </is>
      </c>
      <c r="E248" s="67" t="n"/>
      <c r="F248" s="66" t="inlineStr">
        <is>
          <t>N/A</t>
        </is>
      </c>
      <c r="G248" s="66" t="inlineStr">
        <is>
          <t>Rolling / Unspecified</t>
        </is>
      </c>
      <c r="H248" s="66" t="inlineStr">
        <is>
          <t>미제공 (포털직접)</t>
        </is>
      </c>
    </row>
    <row r="249">
      <c r="A249" s="66" t="n">
        <v>248</v>
      </c>
      <c r="B249" s="67" t="inlineStr">
        <is>
          <t>tencent</t>
        </is>
      </c>
      <c r="C249" s="67" t="inlineStr">
        <is>
          <t>Software Engineering Intern</t>
        </is>
      </c>
      <c r="D249" s="67" t="inlineStr">
        <is>
          <t>Software Engineering</t>
        </is>
      </c>
      <c r="E249" s="67" t="n"/>
      <c r="F249" s="66" t="inlineStr">
        <is>
          <t>N/A</t>
        </is>
      </c>
      <c r="G249" s="66" t="inlineStr">
        <is>
          <t>2026-09-08T00:00:00.000Z</t>
        </is>
      </c>
      <c r="H249" s="68" t="inlineStr">
        <is>
          <t>지원 링크 ↗</t>
        </is>
      </c>
    </row>
    <row r="250">
      <c r="A250" s="66" t="n">
        <v>249</v>
      </c>
      <c r="B250" s="67" t="inlineStr">
        <is>
          <t>g-p</t>
        </is>
      </c>
      <c r="C250" s="67" t="inlineStr">
        <is>
          <t>Software Engineering, Internship</t>
        </is>
      </c>
      <c r="D250" s="67" t="inlineStr">
        <is>
          <t>Software Engineering</t>
        </is>
      </c>
      <c r="E250" s="67" t="n"/>
      <c r="F250" s="66" t="inlineStr">
        <is>
          <t>N/A</t>
        </is>
      </c>
      <c r="G250" s="66" t="inlineStr">
        <is>
          <t>Rolling / Unspecified</t>
        </is>
      </c>
      <c r="H250" s="66" t="inlineStr">
        <is>
          <t>미제공 (포털직접)</t>
        </is>
      </c>
    </row>
    <row r="251">
      <c r="A251" s="66" t="n">
        <v>250</v>
      </c>
      <c r="B251" s="67" t="inlineStr">
        <is>
          <t>xantium</t>
        </is>
      </c>
      <c r="C251" s="67" t="inlineStr">
        <is>
          <t>Quantitative Developer Intern</t>
        </is>
      </c>
      <c r="D251" s="67" t="inlineStr">
        <is>
          <t>Quant Developer</t>
        </is>
      </c>
      <c r="E251" s="67" t="n"/>
      <c r="F251" s="66" t="inlineStr">
        <is>
          <t>N/A</t>
        </is>
      </c>
      <c r="G251" s="66" t="inlineStr">
        <is>
          <t>Rolling / Unspecified</t>
        </is>
      </c>
      <c r="H251" s="68" t="inlineStr">
        <is>
          <t>지원 링크 ↗</t>
        </is>
      </c>
    </row>
    <row r="252">
      <c r="A252" s="66" t="n">
        <v>251</v>
      </c>
      <c r="B252" s="67" t="inlineStr">
        <is>
          <t>schonfeld</t>
        </is>
      </c>
      <c r="C252" s="67" t="inlineStr">
        <is>
          <t>2027 Software Engineer Summer Internship</t>
        </is>
      </c>
      <c r="D252" s="67" t="inlineStr">
        <is>
          <t>Software Engineering</t>
        </is>
      </c>
      <c r="E252" s="67" t="n"/>
      <c r="F252" s="66" t="inlineStr">
        <is>
          <t>N/A</t>
        </is>
      </c>
      <c r="G252" s="66" t="inlineStr">
        <is>
          <t>Rolling / Unspecified</t>
        </is>
      </c>
      <c r="H252" s="66" t="inlineStr">
        <is>
          <t>미제공 (포털직접)</t>
        </is>
      </c>
    </row>
    <row r="253">
      <c r="A253" s="66" t="n">
        <v>252</v>
      </c>
      <c r="B253" s="67" t="inlineStr">
        <is>
          <t>optiver</t>
        </is>
      </c>
      <c r="C253" s="67" t="inlineStr">
        <is>
          <t>Software Engineer Internship (2027 Start)</t>
        </is>
      </c>
      <c r="D253" s="67" t="inlineStr">
        <is>
          <t>Quant Developer</t>
        </is>
      </c>
      <c r="E253" s="67" t="n"/>
      <c r="F253" s="66" t="inlineStr">
        <is>
          <t>N/A</t>
        </is>
      </c>
      <c r="G253" s="66" t="inlineStr">
        <is>
          <t>Rolling / Unspecified</t>
        </is>
      </c>
      <c r="H253" s="68" t="inlineStr">
        <is>
          <t>지원 링크 ↗</t>
        </is>
      </c>
    </row>
    <row r="254">
      <c r="A254" s="66" t="n">
        <v>253</v>
      </c>
      <c r="B254" s="67" t="inlineStr">
        <is>
          <t>marshall-wace</t>
        </is>
      </c>
      <c r="C254" s="67" t="inlineStr">
        <is>
          <t>Technology Intern - 2027</t>
        </is>
      </c>
      <c r="D254" s="67" t="inlineStr">
        <is>
          <t>Software Engineering, Cyber Security, Data Science, DevOps and Infrastructure</t>
        </is>
      </c>
      <c r="E254" s="67" t="n"/>
      <c r="F254" s="66" t="inlineStr">
        <is>
          <t>N/A</t>
        </is>
      </c>
      <c r="G254" s="66" t="inlineStr">
        <is>
          <t>Rolling / Unspecified</t>
        </is>
      </c>
      <c r="H254" s="68" t="inlineStr">
        <is>
          <t>지원 링크 ↗</t>
        </is>
      </c>
    </row>
    <row r="255">
      <c r="A255" s="66" t="n">
        <v>254</v>
      </c>
      <c r="B255" s="67" t="inlineStr">
        <is>
          <t>pa-consulting</t>
        </is>
      </c>
      <c r="C255" s="67" t="inlineStr">
        <is>
          <t>2027 Summer Internship - Software &amp; Controls Engineer</t>
        </is>
      </c>
      <c r="D255" s="67" t="inlineStr">
        <is>
          <t>Tech Consulting</t>
        </is>
      </c>
      <c r="E255" s="67" t="n"/>
      <c r="F255" s="66" t="inlineStr">
        <is>
          <t>N/A</t>
        </is>
      </c>
      <c r="G255" s="66" t="inlineStr">
        <is>
          <t>Rolling / Unspecified</t>
        </is>
      </c>
      <c r="H255" s="66" t="inlineStr">
        <is>
          <t>미제공 (포털직접)</t>
        </is>
      </c>
    </row>
    <row r="256">
      <c r="A256" s="66" t="n">
        <v>255</v>
      </c>
      <c r="B256" s="67" t="inlineStr">
        <is>
          <t>arbuthnot-latham</t>
        </is>
      </c>
      <c r="C256" s="67" t="inlineStr">
        <is>
          <t>Internship 2027 - IT Service Delivery</t>
        </is>
      </c>
      <c r="D256" s="67" t="inlineStr">
        <is>
          <t>IT</t>
        </is>
      </c>
      <c r="E256" s="67" t="n"/>
      <c r="F256" s="66" t="inlineStr">
        <is>
          <t>N/A</t>
        </is>
      </c>
      <c r="G256" s="66" t="inlineStr">
        <is>
          <t>Rolling / Unspecified</t>
        </is>
      </c>
      <c r="H256" s="66" t="inlineStr">
        <is>
          <t>미제공 (포털직접)</t>
        </is>
      </c>
    </row>
    <row r="257">
      <c r="A257" s="66" t="n">
        <v>256</v>
      </c>
      <c r="B257" s="67" t="inlineStr">
        <is>
          <t>incident-io</t>
        </is>
      </c>
      <c r="C257" s="67" t="inlineStr">
        <is>
          <t>Product Engineer Summer Internship</t>
        </is>
      </c>
      <c r="D257" s="67" t="inlineStr">
        <is>
          <t>Startups</t>
        </is>
      </c>
      <c r="E257" s="67" t="n"/>
      <c r="F257" s="66" t="inlineStr">
        <is>
          <t>N/A</t>
        </is>
      </c>
      <c r="G257" s="66" t="inlineStr">
        <is>
          <t>Rolling / Unspecified</t>
        </is>
      </c>
      <c r="H257" s="66" t="inlineStr">
        <is>
          <t>미제공 (포털직접)</t>
        </is>
      </c>
    </row>
    <row r="258">
      <c r="A258" s="66" t="n">
        <v>257</v>
      </c>
      <c r="B258" s="67" t="inlineStr">
        <is>
          <t>aveva</t>
        </is>
      </c>
      <c r="C258" s="67" t="inlineStr">
        <is>
          <t>Artificial Intelligence and Machine Learning Intern</t>
        </is>
      </c>
      <c r="D258" s="67" t="inlineStr">
        <is>
          <t>AI and Machine Learning</t>
        </is>
      </c>
      <c r="E258" s="67" t="n"/>
      <c r="F258" s="66" t="inlineStr">
        <is>
          <t>N/A</t>
        </is>
      </c>
      <c r="G258" s="66" t="inlineStr">
        <is>
          <t>Rolling / Unspecified</t>
        </is>
      </c>
      <c r="H258" s="66" t="inlineStr">
        <is>
          <t>미제공 (포털직접)</t>
        </is>
      </c>
    </row>
    <row r="259">
      <c r="A259" s="66" t="n">
        <v>258</v>
      </c>
      <c r="B259" s="67" t="inlineStr">
        <is>
          <t>fleek</t>
        </is>
      </c>
      <c r="C259" s="67" t="inlineStr">
        <is>
          <t>Software Engineering Intern (London-based)</t>
        </is>
      </c>
      <c r="D259" s="67" t="inlineStr">
        <is>
          <t>Software Engineering</t>
        </is>
      </c>
      <c r="E259" s="67" t="n"/>
      <c r="F259" s="66" t="inlineStr">
        <is>
          <t>N/A</t>
        </is>
      </c>
      <c r="G259" s="66" t="inlineStr">
        <is>
          <t>Rolling / Unspecified</t>
        </is>
      </c>
      <c r="H259" s="66" t="inlineStr">
        <is>
          <t>미제공 (포털직접)</t>
        </is>
      </c>
    </row>
    <row r="260">
      <c r="A260" s="66" t="n">
        <v>259</v>
      </c>
      <c r="B260" s="67" t="inlineStr">
        <is>
          <t>spotify</t>
        </is>
      </c>
      <c r="C260" s="67" t="inlineStr">
        <is>
          <t>2027 Summer Internship, Engineering &amp; Data Science</t>
        </is>
      </c>
      <c r="D260" s="67" t="inlineStr">
        <is>
          <t>Software Engineering, Data Science</t>
        </is>
      </c>
      <c r="E260" s="67" t="n"/>
      <c r="F260" s="66" t="inlineStr">
        <is>
          <t>N/A</t>
        </is>
      </c>
      <c r="G260" s="66" t="inlineStr">
        <is>
          <t>Rolling / Unspecified</t>
        </is>
      </c>
      <c r="H260" s="66" t="inlineStr">
        <is>
          <t>미제공 (포털직접)</t>
        </is>
      </c>
    </row>
    <row r="261">
      <c r="A261" s="66" t="n">
        <v>260</v>
      </c>
      <c r="B261" s="67" t="inlineStr">
        <is>
          <t>s-p-global</t>
        </is>
      </c>
      <c r="C261" s="67" t="inlineStr">
        <is>
          <t>Data Engineer Summer Intern</t>
        </is>
      </c>
      <c r="D261" s="67" t="inlineStr">
        <is>
          <t>Data Science</t>
        </is>
      </c>
      <c r="E261" s="67" t="n"/>
      <c r="F261" s="66" t="inlineStr">
        <is>
          <t>N/A</t>
        </is>
      </c>
      <c r="G261" s="66" t="inlineStr">
        <is>
          <t>Rolling / Unspecified</t>
        </is>
      </c>
      <c r="H261" s="66" t="inlineStr">
        <is>
          <t>미제공 (포털직접)</t>
        </is>
      </c>
    </row>
    <row r="262">
      <c r="A262" s="66" t="n">
        <v>261</v>
      </c>
      <c r="B262" s="67" t="inlineStr">
        <is>
          <t>bloomberg</t>
        </is>
      </c>
      <c r="C262" s="67" t="inlineStr">
        <is>
          <t>2027 Software Engineer</t>
        </is>
      </c>
      <c r="D262" s="67" t="inlineStr">
        <is>
          <t>Software Engineering</t>
        </is>
      </c>
      <c r="E262" s="67" t="n"/>
      <c r="F262" s="66" t="inlineStr">
        <is>
          <t>N/A</t>
        </is>
      </c>
      <c r="G262" s="66" t="inlineStr">
        <is>
          <t>Rolling / Unspecified</t>
        </is>
      </c>
      <c r="H262" s="66" t="inlineStr">
        <is>
          <t>미제공 (포털직접)</t>
        </is>
      </c>
    </row>
    <row r="263">
      <c r="A263" s="66" t="n">
        <v>262</v>
      </c>
      <c r="B263" s="67" t="inlineStr">
        <is>
          <t>severn-trent</t>
        </is>
      </c>
      <c r="C263" s="67" t="inlineStr">
        <is>
          <t>Technology Summer Placement</t>
        </is>
      </c>
      <c r="D263" s="67" t="inlineStr">
        <is>
          <t>Software Engineering</t>
        </is>
      </c>
      <c r="E263" s="67" t="n"/>
      <c r="F263" s="66" t="inlineStr">
        <is>
          <t>N/A</t>
        </is>
      </c>
      <c r="G263" s="66" t="inlineStr">
        <is>
          <t>Rolling / Unspecified</t>
        </is>
      </c>
      <c r="H263" s="66" t="inlineStr">
        <is>
          <t>미제공 (포털직접)</t>
        </is>
      </c>
    </row>
    <row r="264">
      <c r="A264" s="66" t="n">
        <v>263</v>
      </c>
      <c r="B264" s="67" t="inlineStr">
        <is>
          <t>motorola-solutions</t>
        </is>
      </c>
      <c r="C264" s="67" t="inlineStr">
        <is>
          <t>Software Engineering Internship</t>
        </is>
      </c>
      <c r="D264" s="67" t="inlineStr">
        <is>
          <t>Software Engineering</t>
        </is>
      </c>
      <c r="E264" s="67" t="n"/>
      <c r="F264" s="66" t="inlineStr">
        <is>
          <t>N/A</t>
        </is>
      </c>
      <c r="G264" s="66" t="inlineStr">
        <is>
          <t>Rolling / Unspecified</t>
        </is>
      </c>
      <c r="H264" s="66" t="inlineStr">
        <is>
          <t>미제공 (포털직접)</t>
        </is>
      </c>
    </row>
    <row r="265">
      <c r="A265" s="66" t="n">
        <v>264</v>
      </c>
      <c r="B265" s="67" t="inlineStr">
        <is>
          <t>silver-8-capital</t>
        </is>
      </c>
      <c r="C265" s="67" t="inlineStr">
        <is>
          <t>Summer 2027 SWE Internship</t>
        </is>
      </c>
      <c r="D265" s="67" t="inlineStr">
        <is>
          <t>Software Engineering</t>
        </is>
      </c>
      <c r="E265" s="67" t="n"/>
      <c r="F265" s="66" t="inlineStr">
        <is>
          <t>N/A</t>
        </is>
      </c>
      <c r="G265" s="66" t="inlineStr">
        <is>
          <t>Rolling / Unspecified</t>
        </is>
      </c>
      <c r="H265" s="66" t="inlineStr">
        <is>
          <t>미제공 (포털직접)</t>
        </is>
      </c>
    </row>
    <row r="266">
      <c r="A266" s="66" t="n">
        <v>265</v>
      </c>
      <c r="B266" s="67" t="inlineStr">
        <is>
          <t>esourcing-data</t>
        </is>
      </c>
      <c r="C266" s="67" t="inlineStr">
        <is>
          <t>Software Development Intern (Summer)</t>
        </is>
      </c>
      <c r="D266" s="67" t="inlineStr">
        <is>
          <t>Software Engineering</t>
        </is>
      </c>
      <c r="E266" s="67" t="n"/>
      <c r="F266" s="66" t="inlineStr">
        <is>
          <t>N/A</t>
        </is>
      </c>
      <c r="G266" s="66" t="inlineStr">
        <is>
          <t>Rolling / Unspecified</t>
        </is>
      </c>
      <c r="H266" s="66" t="inlineStr">
        <is>
          <t>미제공 (포털직접)</t>
        </is>
      </c>
    </row>
    <row r="267">
      <c r="A267" s="66" t="n">
        <v>266</v>
      </c>
      <c r="B267" s="67" t="inlineStr">
        <is>
          <t>julius-baer</t>
        </is>
      </c>
      <c r="C267" s="67" t="inlineStr">
        <is>
          <t>Data Analytics &amp; Business Management Intern</t>
        </is>
      </c>
      <c r="D267" s="67" t="inlineStr">
        <is>
          <t>Data Science</t>
        </is>
      </c>
      <c r="E267" s="67" t="n"/>
      <c r="F267" s="66" t="inlineStr">
        <is>
          <t>N/A</t>
        </is>
      </c>
      <c r="G267" s="66" t="inlineStr">
        <is>
          <t>Rolling / Unspecified</t>
        </is>
      </c>
      <c r="H267" s="66" t="inlineStr">
        <is>
          <t>미제공 (포털직접)</t>
        </is>
      </c>
    </row>
    <row r="268">
      <c r="A268" s="66" t="n">
        <v>267</v>
      </c>
      <c r="B268" s="67" t="inlineStr">
        <is>
          <t>nuveen</t>
        </is>
      </c>
      <c r="C268" s="67" t="inlineStr">
        <is>
          <t>Technology &amp; Operations - Summer Intern</t>
        </is>
      </c>
      <c r="D268" s="67" t="inlineStr">
        <is>
          <t>Software Engineering</t>
        </is>
      </c>
      <c r="E268" s="67" t="n"/>
      <c r="F268" s="66" t="inlineStr">
        <is>
          <t>N/A</t>
        </is>
      </c>
      <c r="G268" s="66" t="inlineStr">
        <is>
          <t>Rolling / Unspecified</t>
        </is>
      </c>
      <c r="H268" s="66" t="inlineStr">
        <is>
          <t>미제공 (포털직접)</t>
        </is>
      </c>
    </row>
    <row r="269">
      <c r="A269" s="66" t="n">
        <v>268</v>
      </c>
      <c r="B269" s="67" t="inlineStr">
        <is>
          <t>blockchain-com</t>
        </is>
      </c>
      <c r="C269" s="67" t="inlineStr">
        <is>
          <t>Software Engineer Intern (6 months)</t>
        </is>
      </c>
      <c r="D269" s="67" t="inlineStr">
        <is>
          <t>Software Engineering</t>
        </is>
      </c>
      <c r="E269" s="67" t="n"/>
      <c r="F269" s="66" t="inlineStr">
        <is>
          <t>N/A</t>
        </is>
      </c>
      <c r="G269" s="66" t="inlineStr">
        <is>
          <t>Rolling / Unspecified</t>
        </is>
      </c>
      <c r="H269" s="66" t="inlineStr">
        <is>
          <t>미제공 (포털직접)</t>
        </is>
      </c>
    </row>
    <row r="270">
      <c r="A270" s="66" t="n">
        <v>269</v>
      </c>
      <c r="B270" s="67" t="inlineStr">
        <is>
          <t>bank-of-america</t>
        </is>
      </c>
      <c r="C270" s="67" t="inlineStr">
        <is>
          <t>Technology Infrastructure Summer 2027 Analyst</t>
        </is>
      </c>
      <c r="D270" s="67" t="inlineStr">
        <is>
          <t>Software Engineering, DevOps and Infrastructure, Cyber Security</t>
        </is>
      </c>
      <c r="E270" s="67" t="n"/>
      <c r="F270" s="66" t="inlineStr">
        <is>
          <t>N/A</t>
        </is>
      </c>
      <c r="G270" s="66" t="inlineStr">
        <is>
          <t>2026-10-11T00:00:00.000Z</t>
        </is>
      </c>
      <c r="H270" s="68" t="inlineStr">
        <is>
          <t>지원 링크 ↗</t>
        </is>
      </c>
    </row>
    <row r="271">
      <c r="A271" s="66" t="n">
        <v>270</v>
      </c>
      <c r="B271" s="67" t="inlineStr">
        <is>
          <t>snap</t>
        </is>
      </c>
      <c r="C271" s="67" t="inlineStr">
        <is>
          <t>Machine Learning Engineering Intern</t>
        </is>
      </c>
      <c r="D271" s="67" t="inlineStr">
        <is>
          <t>AI and Machine Learning</t>
        </is>
      </c>
      <c r="E271" s="67" t="n"/>
      <c r="F271" s="66" t="inlineStr">
        <is>
          <t>N/A</t>
        </is>
      </c>
      <c r="G271" s="66" t="inlineStr">
        <is>
          <t>Rolling / Unspecified</t>
        </is>
      </c>
      <c r="H271" s="66" t="inlineStr">
        <is>
          <t>미제공 (포털직접)</t>
        </is>
      </c>
    </row>
    <row r="272">
      <c r="A272" s="66" t="n">
        <v>271</v>
      </c>
      <c r="B272" s="67" t="inlineStr">
        <is>
          <t>nationwide</t>
        </is>
      </c>
      <c r="C272" s="67" t="inlineStr">
        <is>
          <t>Analyst</t>
        </is>
      </c>
      <c r="D272" s="67" t="inlineStr">
        <is>
          <t>Software Engineering</t>
        </is>
      </c>
      <c r="E272" s="67" t="n"/>
      <c r="F272" s="66" t="inlineStr">
        <is>
          <t>N/A</t>
        </is>
      </c>
      <c r="G272" s="66" t="inlineStr">
        <is>
          <t>Rolling / Unspecified</t>
        </is>
      </c>
      <c r="H272" s="66" t="inlineStr">
        <is>
          <t>미제공 (포털직접)</t>
        </is>
      </c>
    </row>
    <row r="273">
      <c r="A273" s="66" t="n">
        <v>272</v>
      </c>
      <c r="B273" s="67" t="inlineStr">
        <is>
          <t>castleton-commodities-international</t>
        </is>
      </c>
      <c r="C273" s="67" t="inlineStr">
        <is>
          <t>Data Engineering Internship (Summer 2027)</t>
        </is>
      </c>
      <c r="D273" s="67" t="inlineStr">
        <is>
          <t>Data Science</t>
        </is>
      </c>
      <c r="E273" s="67" t="n"/>
      <c r="F273" s="66" t="inlineStr">
        <is>
          <t>N/A</t>
        </is>
      </c>
      <c r="G273" s="66" t="inlineStr">
        <is>
          <t>2026-09-13T00:00:00.000Z</t>
        </is>
      </c>
      <c r="H273" s="68" t="inlineStr">
        <is>
          <t>지원 링크 ↗</t>
        </is>
      </c>
    </row>
    <row r="274">
      <c r="A274" s="66" t="n">
        <v>273</v>
      </c>
      <c r="B274" s="67" t="inlineStr">
        <is>
          <t>dojo</t>
        </is>
      </c>
      <c r="C274" s="67" t="inlineStr">
        <is>
          <t>Intern, Associate Software Engineer</t>
        </is>
      </c>
      <c r="D274" s="67" t="inlineStr">
        <is>
          <t>Software Engineering</t>
        </is>
      </c>
      <c r="E274" s="67" t="n"/>
      <c r="F274" s="66" t="inlineStr">
        <is>
          <t>N/A</t>
        </is>
      </c>
      <c r="G274" s="66" t="inlineStr">
        <is>
          <t>Rolling / Unspecified</t>
        </is>
      </c>
      <c r="H274" s="66" t="inlineStr">
        <is>
          <t>미제공 (포털직접)</t>
        </is>
      </c>
    </row>
    <row r="275">
      <c r="A275" s="66" t="n">
        <v>274</v>
      </c>
      <c r="B275" s="67" t="inlineStr">
        <is>
          <t>aries-global</t>
        </is>
      </c>
      <c r="C275" s="67" t="inlineStr">
        <is>
          <t>Software Engineer Intern</t>
        </is>
      </c>
      <c r="D275" s="67" t="inlineStr">
        <is>
          <t>Software Engineering</t>
        </is>
      </c>
      <c r="E275" s="67" t="n"/>
      <c r="F275" s="66" t="inlineStr">
        <is>
          <t>N/A</t>
        </is>
      </c>
      <c r="G275" s="66" t="inlineStr">
        <is>
          <t>Rolling / Unspecified</t>
        </is>
      </c>
      <c r="H275" s="66" t="inlineStr">
        <is>
          <t>미제공 (포털직접)</t>
        </is>
      </c>
    </row>
    <row r="276">
      <c r="A276" s="66" t="n">
        <v>275</v>
      </c>
      <c r="B276" s="67" t="inlineStr">
        <is>
          <t>unlikelyai</t>
        </is>
      </c>
      <c r="C276" s="67" t="inlineStr">
        <is>
          <t>Software Engineer Intern</t>
        </is>
      </c>
      <c r="D276" s="67" t="inlineStr">
        <is>
          <t>Software Engineering</t>
        </is>
      </c>
      <c r="E276" s="67" t="n"/>
      <c r="F276" s="66" t="inlineStr">
        <is>
          <t>N/A</t>
        </is>
      </c>
      <c r="G276" s="66" t="inlineStr">
        <is>
          <t>Rolling / Unspecified</t>
        </is>
      </c>
      <c r="H276" s="66" t="inlineStr">
        <is>
          <t>미제공 (포털직접)</t>
        </is>
      </c>
    </row>
    <row r="277">
      <c r="A277" s="66" t="n">
        <v>276</v>
      </c>
      <c r="B277" s="67" t="inlineStr">
        <is>
          <t>cadence</t>
        </is>
      </c>
      <c r="C277" s="67" t="inlineStr">
        <is>
          <t>Intern - Software Engineering</t>
        </is>
      </c>
      <c r="D277" s="67" t="inlineStr">
        <is>
          <t>Software Engineering</t>
        </is>
      </c>
      <c r="E277" s="67" t="n"/>
      <c r="F277" s="66" t="inlineStr">
        <is>
          <t>N/A</t>
        </is>
      </c>
      <c r="G277" s="66" t="inlineStr">
        <is>
          <t>Rolling / Unspecified</t>
        </is>
      </c>
      <c r="H277" s="66" t="inlineStr">
        <is>
          <t>미제공 (포털직접)</t>
        </is>
      </c>
    </row>
    <row r="278">
      <c r="A278" s="66" t="n">
        <v>277</v>
      </c>
      <c r="B278" s="67" t="inlineStr">
        <is>
          <t>imc-trading</t>
        </is>
      </c>
      <c r="C278" s="67" t="inlineStr">
        <is>
          <t>Software Engineer Intern</t>
        </is>
      </c>
      <c r="D278" s="67" t="inlineStr">
        <is>
          <t>Quant Developer</t>
        </is>
      </c>
      <c r="E278" s="67" t="n"/>
      <c r="F278" s="66" t="inlineStr">
        <is>
          <t>N/A</t>
        </is>
      </c>
      <c r="G278" s="66" t="inlineStr">
        <is>
          <t>Rolling / Unspecified</t>
        </is>
      </c>
      <c r="H278" s="68" t="inlineStr">
        <is>
          <t>지원 링크 ↗</t>
        </is>
      </c>
    </row>
    <row r="279">
      <c r="A279" s="66" t="n">
        <v>278</v>
      </c>
      <c r="B279" s="67" t="inlineStr">
        <is>
          <t>mastercard</t>
        </is>
      </c>
      <c r="C279" s="67" t="inlineStr">
        <is>
          <t>Intern, Technology Risk Management</t>
        </is>
      </c>
      <c r="D279" s="67" t="inlineStr">
        <is>
          <t>IT</t>
        </is>
      </c>
      <c r="E279" s="67" t="n"/>
      <c r="F279" s="66" t="inlineStr">
        <is>
          <t>N/A</t>
        </is>
      </c>
      <c r="G279" s="66" t="inlineStr">
        <is>
          <t>Rolling / Unspecified</t>
        </is>
      </c>
      <c r="H279" s="66" t="inlineStr">
        <is>
          <t>미제공 (포털직접)</t>
        </is>
      </c>
    </row>
    <row r="280">
      <c r="A280" s="66" t="n">
        <v>279</v>
      </c>
      <c r="B280" s="67" t="inlineStr">
        <is>
          <t>meta</t>
        </is>
      </c>
      <c r="C280" s="67" t="inlineStr">
        <is>
          <t>Security Engineer Intern</t>
        </is>
      </c>
      <c r="D280" s="67" t="inlineStr">
        <is>
          <t>Cyber Security</t>
        </is>
      </c>
      <c r="E280" s="67" t="n"/>
      <c r="F280" s="66" t="inlineStr">
        <is>
          <t>N/A</t>
        </is>
      </c>
      <c r="G280" s="66" t="inlineStr">
        <is>
          <t>Rolling / Unspecified</t>
        </is>
      </c>
      <c r="H280" s="66" t="inlineStr">
        <is>
          <t>미제공 (포털직접)</t>
        </is>
      </c>
    </row>
    <row r="281">
      <c r="A281" s="66" t="n">
        <v>280</v>
      </c>
      <c r="B281" s="67" t="inlineStr">
        <is>
          <t>cboe-global-markets</t>
        </is>
      </c>
      <c r="C281" s="67" t="inlineStr">
        <is>
          <t>Intern - Data &amp; Analytics</t>
        </is>
      </c>
      <c r="D281" s="67" t="inlineStr">
        <is>
          <t>Data Science</t>
        </is>
      </c>
      <c r="E281" s="67" t="n"/>
      <c r="F281" s="66" t="inlineStr">
        <is>
          <t>N/A</t>
        </is>
      </c>
      <c r="G281" s="66" t="inlineStr">
        <is>
          <t>Rolling / Unspecified</t>
        </is>
      </c>
      <c r="H281" s="66" t="inlineStr">
        <is>
          <t>미제공 (포털직접)</t>
        </is>
      </c>
    </row>
    <row r="282">
      <c r="A282" s="66" t="n">
        <v>281</v>
      </c>
      <c r="B282" s="67" t="inlineStr">
        <is>
          <t>fuse-energy</t>
        </is>
      </c>
      <c r="C282" s="67" t="inlineStr">
        <is>
          <t>IT Operations Intern</t>
        </is>
      </c>
      <c r="D282" s="67" t="inlineStr">
        <is>
          <t>IT</t>
        </is>
      </c>
      <c r="E282" s="67" t="n"/>
      <c r="F282" s="66" t="inlineStr">
        <is>
          <t>N/A</t>
        </is>
      </c>
      <c r="G282" s="66" t="inlineStr">
        <is>
          <t>Rolling / Unspecified</t>
        </is>
      </c>
      <c r="H282" s="66" t="inlineStr">
        <is>
          <t>미제공 (포털직접)</t>
        </is>
      </c>
    </row>
    <row r="283">
      <c r="A283" s="66" t="n">
        <v>282</v>
      </c>
      <c r="B283" s="67" t="inlineStr">
        <is>
          <t>frazer-nash-consultancy</t>
        </is>
      </c>
      <c r="C283" s="67" t="inlineStr">
        <is>
          <t>Data Science &amp; Software Engineer Summer Internship</t>
        </is>
      </c>
      <c r="D283" s="67" t="inlineStr">
        <is>
          <t>Data Science, Software Engineering</t>
        </is>
      </c>
      <c r="E283" s="67" t="n"/>
      <c r="F283" s="66" t="inlineStr">
        <is>
          <t>N/A</t>
        </is>
      </c>
      <c r="G283" s="66" t="inlineStr">
        <is>
          <t>Rolling / Unspecified</t>
        </is>
      </c>
      <c r="H283" s="66" t="inlineStr">
        <is>
          <t>미제공 (포털직접)</t>
        </is>
      </c>
    </row>
    <row r="284">
      <c r="A284" s="66" t="n">
        <v>283</v>
      </c>
      <c r="B284" s="67" t="inlineStr">
        <is>
          <t>qube-rt</t>
        </is>
      </c>
      <c r="C284" s="67" t="inlineStr">
        <is>
          <t>2027 Internship - Security Engineering</t>
        </is>
      </c>
      <c r="D284" s="67" t="inlineStr">
        <is>
          <t>Cyber Security</t>
        </is>
      </c>
      <c r="E284" s="67" t="n"/>
      <c r="F284" s="66" t="inlineStr">
        <is>
          <t>N/A</t>
        </is>
      </c>
      <c r="G284" s="66" t="inlineStr">
        <is>
          <t>Rolling / Unspecified</t>
        </is>
      </c>
      <c r="H284" s="68" t="inlineStr">
        <is>
          <t>지원 링크 ↗</t>
        </is>
      </c>
    </row>
    <row r="285">
      <c r="A285" s="66" t="n">
        <v>284</v>
      </c>
      <c r="B285" s="67" t="inlineStr">
        <is>
          <t>xtx-markets</t>
        </is>
      </c>
      <c r="C285" s="67" t="inlineStr">
        <is>
          <t>Software Engineering Intern - Summer 2027</t>
        </is>
      </c>
      <c r="D285" s="67" t="inlineStr">
        <is>
          <t>Quant Developer</t>
        </is>
      </c>
      <c r="E285" s="67" t="n"/>
      <c r="F285" s="66" t="inlineStr">
        <is>
          <t>N/A</t>
        </is>
      </c>
      <c r="G285" s="66" t="inlineStr">
        <is>
          <t>Rolling / Unspecified</t>
        </is>
      </c>
      <c r="H285" s="66" t="inlineStr">
        <is>
          <t>미제공 (포털직접)</t>
        </is>
      </c>
    </row>
    <row r="286">
      <c r="A286" s="66" t="n">
        <v>285</v>
      </c>
      <c r="B286" s="67" t="inlineStr">
        <is>
          <t>apple</t>
        </is>
      </c>
      <c r="C286" s="67" t="inlineStr">
        <is>
          <t>Software Engineer Intern</t>
        </is>
      </c>
      <c r="D286" s="67" t="inlineStr">
        <is>
          <t>Software Engineering</t>
        </is>
      </c>
      <c r="E286" s="67" t="n"/>
      <c r="F286" s="66" t="inlineStr">
        <is>
          <t>N/A</t>
        </is>
      </c>
      <c r="G286" s="66" t="inlineStr">
        <is>
          <t>Rolling / Unspecified</t>
        </is>
      </c>
      <c r="H286" s="68" t="inlineStr">
        <is>
          <t>지원 링크 ↗</t>
        </is>
      </c>
    </row>
    <row r="287">
      <c r="A287" s="66" t="n">
        <v>286</v>
      </c>
      <c r="B287" s="67" t="inlineStr">
        <is>
          <t>l-e-k-consulting</t>
        </is>
      </c>
      <c r="C287" s="67" t="inlineStr">
        <is>
          <t>2027 Data &amp; Analytics Summer Internship</t>
        </is>
      </c>
      <c r="D287" s="67" t="inlineStr">
        <is>
          <t>Tech Consulting</t>
        </is>
      </c>
      <c r="E287" s="67" t="n"/>
      <c r="F287" s="66" t="inlineStr">
        <is>
          <t>N/A</t>
        </is>
      </c>
      <c r="G287" s="66" t="inlineStr">
        <is>
          <t>Rolling / Unspecified</t>
        </is>
      </c>
      <c r="H287" s="66" t="inlineStr">
        <is>
          <t>미제공 (포털직접)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8" r:id="rId6"/>
    <hyperlink xmlns:r="http://schemas.openxmlformats.org/officeDocument/2006/relationships" ref="H9" r:id="rId7"/>
    <hyperlink xmlns:r="http://schemas.openxmlformats.org/officeDocument/2006/relationships" ref="H16" r:id="rId8"/>
    <hyperlink xmlns:r="http://schemas.openxmlformats.org/officeDocument/2006/relationships" ref="H19" r:id="rId9"/>
    <hyperlink xmlns:r="http://schemas.openxmlformats.org/officeDocument/2006/relationships" ref="H22" r:id="rId10"/>
    <hyperlink xmlns:r="http://schemas.openxmlformats.org/officeDocument/2006/relationships" ref="H24" r:id="rId11"/>
    <hyperlink xmlns:r="http://schemas.openxmlformats.org/officeDocument/2006/relationships" ref="H28" r:id="rId12"/>
    <hyperlink xmlns:r="http://schemas.openxmlformats.org/officeDocument/2006/relationships" ref="H29" r:id="rId13"/>
    <hyperlink xmlns:r="http://schemas.openxmlformats.org/officeDocument/2006/relationships" ref="H31" r:id="rId14"/>
    <hyperlink xmlns:r="http://schemas.openxmlformats.org/officeDocument/2006/relationships" ref="H32" r:id="rId15"/>
    <hyperlink xmlns:r="http://schemas.openxmlformats.org/officeDocument/2006/relationships" ref="H38" r:id="rId16"/>
    <hyperlink xmlns:r="http://schemas.openxmlformats.org/officeDocument/2006/relationships" ref="H49" r:id="rId17"/>
    <hyperlink xmlns:r="http://schemas.openxmlformats.org/officeDocument/2006/relationships" ref="H60" r:id="rId18"/>
    <hyperlink xmlns:r="http://schemas.openxmlformats.org/officeDocument/2006/relationships" ref="H64" r:id="rId19"/>
    <hyperlink xmlns:r="http://schemas.openxmlformats.org/officeDocument/2006/relationships" ref="H65" r:id="rId20"/>
    <hyperlink xmlns:r="http://schemas.openxmlformats.org/officeDocument/2006/relationships" ref="H69" r:id="rId21"/>
    <hyperlink xmlns:r="http://schemas.openxmlformats.org/officeDocument/2006/relationships" ref="H73" r:id="rId22"/>
    <hyperlink xmlns:r="http://schemas.openxmlformats.org/officeDocument/2006/relationships" ref="H75" r:id="rId23"/>
    <hyperlink xmlns:r="http://schemas.openxmlformats.org/officeDocument/2006/relationships" ref="H76" r:id="rId24"/>
    <hyperlink xmlns:r="http://schemas.openxmlformats.org/officeDocument/2006/relationships" ref="H80" r:id="rId25"/>
    <hyperlink xmlns:r="http://schemas.openxmlformats.org/officeDocument/2006/relationships" ref="H86" r:id="rId26"/>
    <hyperlink xmlns:r="http://schemas.openxmlformats.org/officeDocument/2006/relationships" ref="H87" r:id="rId27"/>
    <hyperlink xmlns:r="http://schemas.openxmlformats.org/officeDocument/2006/relationships" ref="H89" r:id="rId28"/>
    <hyperlink xmlns:r="http://schemas.openxmlformats.org/officeDocument/2006/relationships" ref="H92" r:id="rId29"/>
    <hyperlink xmlns:r="http://schemas.openxmlformats.org/officeDocument/2006/relationships" ref="H105" r:id="rId30"/>
    <hyperlink xmlns:r="http://schemas.openxmlformats.org/officeDocument/2006/relationships" ref="H111" r:id="rId31"/>
    <hyperlink xmlns:r="http://schemas.openxmlformats.org/officeDocument/2006/relationships" ref="H115" r:id="rId32"/>
    <hyperlink xmlns:r="http://schemas.openxmlformats.org/officeDocument/2006/relationships" ref="H118" r:id="rId33"/>
    <hyperlink xmlns:r="http://schemas.openxmlformats.org/officeDocument/2006/relationships" ref="H119" r:id="rId34"/>
    <hyperlink xmlns:r="http://schemas.openxmlformats.org/officeDocument/2006/relationships" ref="H122" r:id="rId35"/>
    <hyperlink xmlns:r="http://schemas.openxmlformats.org/officeDocument/2006/relationships" ref="H125" r:id="rId36"/>
    <hyperlink xmlns:r="http://schemas.openxmlformats.org/officeDocument/2006/relationships" ref="H128" r:id="rId37"/>
    <hyperlink xmlns:r="http://schemas.openxmlformats.org/officeDocument/2006/relationships" ref="H129" r:id="rId38"/>
    <hyperlink xmlns:r="http://schemas.openxmlformats.org/officeDocument/2006/relationships" ref="H135" r:id="rId39"/>
    <hyperlink xmlns:r="http://schemas.openxmlformats.org/officeDocument/2006/relationships" ref="H139" r:id="rId40"/>
    <hyperlink xmlns:r="http://schemas.openxmlformats.org/officeDocument/2006/relationships" ref="H140" r:id="rId41"/>
    <hyperlink xmlns:r="http://schemas.openxmlformats.org/officeDocument/2006/relationships" ref="H143" r:id="rId42"/>
    <hyperlink xmlns:r="http://schemas.openxmlformats.org/officeDocument/2006/relationships" ref="H149" r:id="rId43"/>
    <hyperlink xmlns:r="http://schemas.openxmlformats.org/officeDocument/2006/relationships" ref="H152" r:id="rId44"/>
    <hyperlink xmlns:r="http://schemas.openxmlformats.org/officeDocument/2006/relationships" ref="H155" r:id="rId45"/>
    <hyperlink xmlns:r="http://schemas.openxmlformats.org/officeDocument/2006/relationships" ref="H165" r:id="rId46"/>
    <hyperlink xmlns:r="http://schemas.openxmlformats.org/officeDocument/2006/relationships" ref="H166" r:id="rId47"/>
    <hyperlink xmlns:r="http://schemas.openxmlformats.org/officeDocument/2006/relationships" ref="H169" r:id="rId48"/>
    <hyperlink xmlns:r="http://schemas.openxmlformats.org/officeDocument/2006/relationships" ref="H170" r:id="rId49"/>
    <hyperlink xmlns:r="http://schemas.openxmlformats.org/officeDocument/2006/relationships" ref="H173" r:id="rId50"/>
    <hyperlink xmlns:r="http://schemas.openxmlformats.org/officeDocument/2006/relationships" ref="H174" r:id="rId51"/>
    <hyperlink xmlns:r="http://schemas.openxmlformats.org/officeDocument/2006/relationships" ref="H185" r:id="rId52"/>
    <hyperlink xmlns:r="http://schemas.openxmlformats.org/officeDocument/2006/relationships" ref="H190" r:id="rId53"/>
    <hyperlink xmlns:r="http://schemas.openxmlformats.org/officeDocument/2006/relationships" ref="H193" r:id="rId54"/>
    <hyperlink xmlns:r="http://schemas.openxmlformats.org/officeDocument/2006/relationships" ref="H196" r:id="rId55"/>
    <hyperlink xmlns:r="http://schemas.openxmlformats.org/officeDocument/2006/relationships" ref="H204" r:id="rId56"/>
    <hyperlink xmlns:r="http://schemas.openxmlformats.org/officeDocument/2006/relationships" ref="H208" r:id="rId57"/>
    <hyperlink xmlns:r="http://schemas.openxmlformats.org/officeDocument/2006/relationships" ref="H209" r:id="rId58"/>
    <hyperlink xmlns:r="http://schemas.openxmlformats.org/officeDocument/2006/relationships" ref="H229" r:id="rId59"/>
    <hyperlink xmlns:r="http://schemas.openxmlformats.org/officeDocument/2006/relationships" ref="H235" r:id="rId60"/>
    <hyperlink xmlns:r="http://schemas.openxmlformats.org/officeDocument/2006/relationships" ref="H244" r:id="rId61"/>
    <hyperlink xmlns:r="http://schemas.openxmlformats.org/officeDocument/2006/relationships" ref="H245" r:id="rId62"/>
    <hyperlink xmlns:r="http://schemas.openxmlformats.org/officeDocument/2006/relationships" ref="H249" r:id="rId63"/>
    <hyperlink xmlns:r="http://schemas.openxmlformats.org/officeDocument/2006/relationships" ref="H251" r:id="rId64"/>
    <hyperlink xmlns:r="http://schemas.openxmlformats.org/officeDocument/2006/relationships" ref="H253" r:id="rId65"/>
    <hyperlink xmlns:r="http://schemas.openxmlformats.org/officeDocument/2006/relationships" ref="H254" r:id="rId66"/>
    <hyperlink xmlns:r="http://schemas.openxmlformats.org/officeDocument/2006/relationships" ref="H270" r:id="rId67"/>
    <hyperlink xmlns:r="http://schemas.openxmlformats.org/officeDocument/2006/relationships" ref="H273" r:id="rId68"/>
    <hyperlink xmlns:r="http://schemas.openxmlformats.org/officeDocument/2006/relationships" ref="H278" r:id="rId69"/>
    <hyperlink xmlns:r="http://schemas.openxmlformats.org/officeDocument/2006/relationships" ref="H284" r:id="rId70"/>
    <hyperlink xmlns:r="http://schemas.openxmlformats.org/officeDocument/2006/relationships" ref="H286" r:id="rId7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7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45" customWidth="1" min="3" max="3"/>
    <col width="28" customWidth="1" min="4" max="4"/>
    <col width="25" customWidth="1" min="5" max="5"/>
    <col width="16" customWidth="1" min="6" max="6"/>
    <col width="22" customWidth="1" min="7" max="7"/>
    <col width="16" customWidth="1" min="8" max="8"/>
  </cols>
  <sheetData>
    <row r="1" ht="26" customHeight="1">
      <c r="A1" s="65" t="inlineStr">
        <is>
          <t>No</t>
        </is>
      </c>
      <c r="B1" s="65" t="inlineStr">
        <is>
          <t>Company ID</t>
        </is>
      </c>
      <c r="C1" s="65" t="inlineStr">
        <is>
          <t>Programme Name</t>
        </is>
      </c>
      <c r="D1" s="65" t="inlineStr">
        <is>
          <t>Categories</t>
        </is>
      </c>
      <c r="E1" s="65" t="inlineStr">
        <is>
          <t>Locations</t>
        </is>
      </c>
      <c r="F1" s="65" t="inlineStr">
        <is>
          <t>Visa Sponsorship</t>
        </is>
      </c>
      <c r="G1" s="65" t="inlineStr">
        <is>
          <t>Closing Date</t>
        </is>
      </c>
      <c r="H1" s="65" t="inlineStr">
        <is>
          <t>Application URL</t>
        </is>
      </c>
    </row>
    <row r="2">
      <c r="A2" s="66" t="n">
        <v>1</v>
      </c>
      <c r="B2" s="67" t="inlineStr">
        <is>
          <t>inizio-ignite</t>
        </is>
      </c>
      <c r="C2" s="67" t="inlineStr">
        <is>
          <t>Summer Associate Consultant – 2029 Internship Program</t>
        </is>
      </c>
      <c r="D2" s="67" t="inlineStr">
        <is>
          <t>Consulting</t>
        </is>
      </c>
      <c r="E2" s="67" t="n"/>
      <c r="F2" s="66" t="inlineStr">
        <is>
          <t>N/A</t>
        </is>
      </c>
      <c r="G2" s="66" t="inlineStr">
        <is>
          <t>2026-09-13T00:00:00.000Z</t>
        </is>
      </c>
      <c r="H2" s="68" t="inlineStr">
        <is>
          <t>지원 링크 ↗</t>
        </is>
      </c>
    </row>
    <row r="3">
      <c r="A3" s="66" t="n">
        <v>2</v>
      </c>
      <c r="B3" s="67" t="inlineStr">
        <is>
          <t>man-group</t>
        </is>
      </c>
      <c r="C3" s="67" t="inlineStr">
        <is>
          <t>2027 Quant Researcher Summer Internship</t>
        </is>
      </c>
      <c r="D3" s="67" t="inlineStr">
        <is>
          <t>Trading and Quant</t>
        </is>
      </c>
      <c r="E3" s="67" t="n"/>
      <c r="F3" s="66" t="inlineStr">
        <is>
          <t>N/A</t>
        </is>
      </c>
      <c r="G3" s="66" t="inlineStr">
        <is>
          <t>2026-09-30T00:00:00.000Z</t>
        </is>
      </c>
      <c r="H3" s="68" t="inlineStr">
        <is>
          <t>지원 링크 ↗</t>
        </is>
      </c>
    </row>
    <row r="4">
      <c r="A4" s="66" t="n">
        <v>3</v>
      </c>
      <c r="B4" s="67" t="inlineStr">
        <is>
          <t>j-p-morgan</t>
        </is>
      </c>
      <c r="C4" s="67" t="inlineStr">
        <is>
          <t>2027 Commercial &amp; Investment Banking - Sales - Summer Internship</t>
        </is>
      </c>
      <c r="D4" s="67" t="inlineStr">
        <is>
          <t>Bulge Bracket</t>
        </is>
      </c>
      <c r="E4" s="67" t="n"/>
      <c r="F4" s="66" t="inlineStr">
        <is>
          <t>N/A</t>
        </is>
      </c>
      <c r="G4" s="66" t="inlineStr">
        <is>
          <t>Rolling / Unspecified</t>
        </is>
      </c>
      <c r="H4" s="68" t="inlineStr">
        <is>
          <t>지원 링크 ↗</t>
        </is>
      </c>
    </row>
    <row r="5">
      <c r="A5" s="66" t="n">
        <v>4</v>
      </c>
      <c r="B5" s="67" t="inlineStr">
        <is>
          <t>j-p-morgan</t>
        </is>
      </c>
      <c r="C5" s="67" t="inlineStr">
        <is>
          <t>2027 Commercial &amp; Investment Banking - Global Markets - Summer Internship</t>
        </is>
      </c>
      <c r="D5" s="67" t="inlineStr">
        <is>
          <t>Bulge Bracket</t>
        </is>
      </c>
      <c r="E5" s="67" t="n"/>
      <c r="F5" s="66" t="inlineStr">
        <is>
          <t>N/A</t>
        </is>
      </c>
      <c r="G5" s="66" t="inlineStr">
        <is>
          <t>Rolling / Unspecified</t>
        </is>
      </c>
      <c r="H5" s="68" t="inlineStr">
        <is>
          <t>지원 링크 ↗</t>
        </is>
      </c>
    </row>
    <row r="6">
      <c r="A6" s="66" t="n">
        <v>5</v>
      </c>
      <c r="B6" s="67" t="inlineStr">
        <is>
          <t>j-p-morgan</t>
        </is>
      </c>
      <c r="C6" s="67" t="inlineStr">
        <is>
          <t>2027 - Risk - Summer Internship</t>
        </is>
      </c>
      <c r="D6" s="67" t="inlineStr">
        <is>
          <t>Bulge Bracket</t>
        </is>
      </c>
      <c r="E6" s="67" t="n"/>
      <c r="F6" s="66" t="inlineStr">
        <is>
          <t>N/A</t>
        </is>
      </c>
      <c r="G6" s="66" t="inlineStr">
        <is>
          <t>Rolling / Unspecified</t>
        </is>
      </c>
      <c r="H6" s="68" t="inlineStr">
        <is>
          <t>지원 링크 ↗</t>
        </is>
      </c>
    </row>
    <row r="7">
      <c r="A7" s="66" t="n">
        <v>6</v>
      </c>
      <c r="B7" s="67" t="inlineStr">
        <is>
          <t>evercore</t>
        </is>
      </c>
      <c r="C7" s="67" t="inlineStr">
        <is>
          <t>Private Funds Group Summer Internship (2027)</t>
        </is>
      </c>
      <c r="D7" s="67" t="inlineStr">
        <is>
          <t>Elite Boutique</t>
        </is>
      </c>
      <c r="E7" s="67" t="n"/>
      <c r="F7" s="66" t="inlineStr">
        <is>
          <t>N/A</t>
        </is>
      </c>
      <c r="G7" s="66" t="inlineStr">
        <is>
          <t>Rolling / Unspecified</t>
        </is>
      </c>
      <c r="H7" s="68" t="inlineStr">
        <is>
          <t>지원 링크 ↗</t>
        </is>
      </c>
    </row>
    <row r="8">
      <c r="A8" s="66" t="n">
        <v>7</v>
      </c>
      <c r="B8" s="67" t="inlineStr">
        <is>
          <t>evercore</t>
        </is>
      </c>
      <c r="C8" s="67" t="inlineStr">
        <is>
          <t>Restructuring Summer Internship (2027)</t>
        </is>
      </c>
      <c r="D8" s="67" t="inlineStr">
        <is>
          <t>Elite Boutique</t>
        </is>
      </c>
      <c r="E8" s="67" t="n"/>
      <c r="F8" s="66" t="inlineStr">
        <is>
          <t>N/A</t>
        </is>
      </c>
      <c r="G8" s="66" t="inlineStr">
        <is>
          <t>Rolling / Unspecified</t>
        </is>
      </c>
      <c r="H8" s="68" t="inlineStr">
        <is>
          <t>지원 링크 ↗</t>
        </is>
      </c>
    </row>
    <row r="9">
      <c r="A9" s="66" t="n">
        <v>8</v>
      </c>
      <c r="B9" s="67" t="inlineStr">
        <is>
          <t>societe-generale</t>
        </is>
      </c>
      <c r="C9" s="67" t="inlineStr">
        <is>
          <t>Global Banking and Advisory 2027 Summer Internship Programme</t>
        </is>
      </c>
      <c r="D9" s="67" t="inlineStr">
        <is>
          <t>Middle Market</t>
        </is>
      </c>
      <c r="E9" s="67" t="n"/>
      <c r="F9" s="66" t="inlineStr">
        <is>
          <t>N/A</t>
        </is>
      </c>
      <c r="G9" s="66" t="inlineStr">
        <is>
          <t>2026-10-25T00:00:00.000Z</t>
        </is>
      </c>
      <c r="H9" s="68" t="inlineStr">
        <is>
          <t>지원 링크 ↗</t>
        </is>
      </c>
    </row>
    <row r="10">
      <c r="A10" s="66" t="n">
        <v>9</v>
      </c>
      <c r="B10" s="67" t="inlineStr">
        <is>
          <t>jefferies</t>
        </is>
      </c>
      <c r="C10" s="67" t="inlineStr">
        <is>
          <t>2027 Private Fund Advisory Summer Internship Programme</t>
        </is>
      </c>
      <c r="D10" s="67" t="inlineStr">
        <is>
          <t>Middle Market</t>
        </is>
      </c>
      <c r="E10" s="67" t="n"/>
      <c r="F10" s="66" t="inlineStr">
        <is>
          <t>N/A</t>
        </is>
      </c>
      <c r="G10" s="66" t="inlineStr">
        <is>
          <t>2026-11-15T00:00:00.000Z</t>
        </is>
      </c>
      <c r="H10" s="68" t="inlineStr">
        <is>
          <t>지원 링크 ↗</t>
        </is>
      </c>
    </row>
    <row r="11">
      <c r="A11" s="66" t="n">
        <v>10</v>
      </c>
      <c r="B11" s="67" t="inlineStr">
        <is>
          <t>fidelity-international</t>
        </is>
      </c>
      <c r="C11" s="67" t="inlineStr">
        <is>
          <t>Sustainable Investing Summer Internship 2027</t>
        </is>
      </c>
      <c r="D11" s="67" t="inlineStr">
        <is>
          <t>Asset Management</t>
        </is>
      </c>
      <c r="E11" s="67" t="n"/>
      <c r="F11" s="66" t="inlineStr">
        <is>
          <t>N/A</t>
        </is>
      </c>
      <c r="G11" s="66" t="inlineStr">
        <is>
          <t>2026-11-15T00:00:00.000Z</t>
        </is>
      </c>
      <c r="H11" s="68" t="inlineStr">
        <is>
          <t>지원 링크 ↗</t>
        </is>
      </c>
    </row>
    <row r="12">
      <c r="A12" s="66" t="n">
        <v>11</v>
      </c>
      <c r="B12" s="67" t="inlineStr">
        <is>
          <t>blackstone</t>
        </is>
      </c>
      <c r="C12" s="67" t="inlineStr">
        <is>
          <t>2027 Spring Insight Programme</t>
        </is>
      </c>
      <c r="D12" s="67" t="inlineStr">
        <is>
          <t>Buy-Side</t>
        </is>
      </c>
      <c r="E12" s="67" t="n"/>
      <c r="F12" s="66" t="inlineStr">
        <is>
          <t>N/A</t>
        </is>
      </c>
      <c r="G12" s="66" t="inlineStr">
        <is>
          <t>2026-10-16T00:00:00.000Z</t>
        </is>
      </c>
      <c r="H12" s="68" t="inlineStr">
        <is>
          <t>지원 링크 ↗</t>
        </is>
      </c>
    </row>
    <row r="13">
      <c r="A13" s="66" t="n">
        <v>12</v>
      </c>
      <c r="B13" s="67" t="inlineStr">
        <is>
          <t>amplifyme</t>
        </is>
      </c>
      <c r="C13" s="67" t="inlineStr">
        <is>
          <t>Investing Simulator Challenge 2026</t>
        </is>
      </c>
      <c r="D13" s="67" t="inlineStr">
        <is>
          <t>Promoted</t>
        </is>
      </c>
      <c r="E13" s="67" t="n"/>
      <c r="F13" s="66" t="inlineStr">
        <is>
          <t>N/A</t>
        </is>
      </c>
      <c r="G13" s="66" t="inlineStr">
        <is>
          <t>Rolling / Unspecified</t>
        </is>
      </c>
      <c r="H13" s="68" t="inlineStr">
        <is>
          <t>지원 링크 ↗</t>
        </is>
      </c>
    </row>
    <row r="14">
      <c r="A14" s="66" t="n">
        <v>13</v>
      </c>
      <c r="B14" s="67" t="inlineStr">
        <is>
          <t>jefferies</t>
        </is>
      </c>
      <c r="C14" s="67" t="inlineStr">
        <is>
          <t>2027 Equities Sales and Trading Summer Internship Programme</t>
        </is>
      </c>
      <c r="D14" s="67" t="inlineStr">
        <is>
          <t>Middle Market</t>
        </is>
      </c>
      <c r="E14" s="67" t="n"/>
      <c r="F14" s="66" t="inlineStr">
        <is>
          <t>N/A</t>
        </is>
      </c>
      <c r="G14" s="66" t="inlineStr">
        <is>
          <t>2026-11-15T00:00:00.000Z</t>
        </is>
      </c>
      <c r="H14" s="68" t="inlineStr">
        <is>
          <t>지원 링크 ↗</t>
        </is>
      </c>
    </row>
    <row r="15">
      <c r="A15" s="66" t="n">
        <v>14</v>
      </c>
      <c r="B15" s="67" t="inlineStr">
        <is>
          <t>nomura</t>
        </is>
      </c>
      <c r="C15" s="67" t="inlineStr">
        <is>
          <t>2027 - Summer Internship (Securitised Products and Private Credit Trading / Structuring)</t>
        </is>
      </c>
      <c r="D15" s="67" t="inlineStr">
        <is>
          <t>Middle Market</t>
        </is>
      </c>
      <c r="E15" s="67" t="n"/>
      <c r="F15" s="66" t="inlineStr">
        <is>
          <t>N/A</t>
        </is>
      </c>
      <c r="G15" s="66" t="inlineStr">
        <is>
          <t>Rolling / Unspecified</t>
        </is>
      </c>
      <c r="H15" s="68" t="inlineStr">
        <is>
          <t>지원 링크 ↗</t>
        </is>
      </c>
    </row>
    <row r="16">
      <c r="A16" s="66" t="n">
        <v>15</v>
      </c>
      <c r="B16" s="67" t="inlineStr">
        <is>
          <t>j-p-morgan</t>
        </is>
      </c>
      <c r="C16" s="67" t="inlineStr">
        <is>
          <t>2027 - Corporate Functions - Summer Internship</t>
        </is>
      </c>
      <c r="D16" s="67" t="inlineStr">
        <is>
          <t>Bulge Bracket</t>
        </is>
      </c>
      <c r="E16" s="67" t="n"/>
      <c r="F16" s="66" t="inlineStr">
        <is>
          <t>N/A</t>
        </is>
      </c>
      <c r="G16" s="66" t="inlineStr">
        <is>
          <t>Rolling / Unspecified</t>
        </is>
      </c>
      <c r="H16" s="68" t="inlineStr">
        <is>
          <t>지원 링크 ↗</t>
        </is>
      </c>
    </row>
    <row r="17">
      <c r="A17" s="66" t="n">
        <v>16</v>
      </c>
      <c r="B17" s="67" t="inlineStr">
        <is>
          <t>jefferies</t>
        </is>
      </c>
      <c r="C17" s="67" t="inlineStr">
        <is>
          <t>2027 Private Credit Investment Summer Internship Programme</t>
        </is>
      </c>
      <c r="D17" s="67" t="inlineStr">
        <is>
          <t>Middle Market</t>
        </is>
      </c>
      <c r="E17" s="67" t="n"/>
      <c r="F17" s="66" t="inlineStr">
        <is>
          <t>N/A</t>
        </is>
      </c>
      <c r="G17" s="66" t="inlineStr">
        <is>
          <t>2026-11-15T00:00:00.000Z</t>
        </is>
      </c>
      <c r="H17" s="68" t="inlineStr">
        <is>
          <t>지원 링크 ↗</t>
        </is>
      </c>
    </row>
    <row r="18">
      <c r="A18" s="66" t="n">
        <v>17</v>
      </c>
      <c r="B18" s="67" t="inlineStr">
        <is>
          <t>macquarie-group</t>
        </is>
      </c>
      <c r="C18" s="67" t="inlineStr">
        <is>
          <t>2027 Macquarie Capital Summer Internship Programme</t>
        </is>
      </c>
      <c r="D18" s="67" t="inlineStr">
        <is>
          <t>Middle Market</t>
        </is>
      </c>
      <c r="E18" s="67" t="n"/>
      <c r="F18" s="66" t="inlineStr">
        <is>
          <t>N/A</t>
        </is>
      </c>
      <c r="G18" s="66" t="inlineStr">
        <is>
          <t>Rolling / Unspecified</t>
        </is>
      </c>
      <c r="H18" s="68" t="inlineStr">
        <is>
          <t>지원 링크 ↗</t>
        </is>
      </c>
    </row>
    <row r="19">
      <c r="A19" s="66" t="n">
        <v>18</v>
      </c>
      <c r="B19" s="67" t="inlineStr">
        <is>
          <t>deutsche-bank</t>
        </is>
      </c>
      <c r="C19" s="67" t="inlineStr">
        <is>
          <t>Investment Banking Internship Programme 2027</t>
        </is>
      </c>
      <c r="D19" s="67" t="inlineStr">
        <is>
          <t>Bulge Bracket</t>
        </is>
      </c>
      <c r="E19" s="67" t="n"/>
      <c r="F19" s="66" t="inlineStr">
        <is>
          <t>N/A</t>
        </is>
      </c>
      <c r="G19" s="66" t="inlineStr">
        <is>
          <t>Rolling / Unspecified</t>
        </is>
      </c>
      <c r="H19" s="68" t="inlineStr">
        <is>
          <t>지원 링크 ↗</t>
        </is>
      </c>
    </row>
    <row r="20">
      <c r="A20" s="66" t="n">
        <v>19</v>
      </c>
      <c r="B20" s="67" t="inlineStr">
        <is>
          <t>mizuho</t>
        </is>
      </c>
      <c r="C20" s="67" t="inlineStr">
        <is>
          <t>2027 Global Markets Summer Internship</t>
        </is>
      </c>
      <c r="D20" s="67" t="inlineStr">
        <is>
          <t>Middle Market</t>
        </is>
      </c>
      <c r="E20" s="67" t="n"/>
      <c r="F20" s="66" t="inlineStr">
        <is>
          <t>N/A</t>
        </is>
      </c>
      <c r="G20" s="66" t="inlineStr">
        <is>
          <t>2026-10-05T00:00:00.000Z</t>
        </is>
      </c>
      <c r="H20" s="68" t="inlineStr">
        <is>
          <t>지원 링크 ↗</t>
        </is>
      </c>
    </row>
    <row r="21">
      <c r="A21" s="66" t="n">
        <v>20</v>
      </c>
      <c r="B21" s="67" t="inlineStr">
        <is>
          <t>mizuho</t>
        </is>
      </c>
      <c r="C21" s="67" t="inlineStr">
        <is>
          <t>2027 Banking Summer Internship</t>
        </is>
      </c>
      <c r="D21" s="67" t="inlineStr">
        <is>
          <t>Middle Market</t>
        </is>
      </c>
      <c r="E21" s="67" t="n"/>
      <c r="F21" s="66" t="inlineStr">
        <is>
          <t>N/A</t>
        </is>
      </c>
      <c r="G21" s="66" t="inlineStr">
        <is>
          <t>2026-10-05T00:00:00.000Z</t>
        </is>
      </c>
      <c r="H21" s="68" t="inlineStr">
        <is>
          <t>지원 링크 ↗</t>
        </is>
      </c>
    </row>
    <row r="22">
      <c r="A22" s="66" t="n">
        <v>21</v>
      </c>
      <c r="B22" s="67" t="inlineStr">
        <is>
          <t>mufg</t>
        </is>
      </c>
      <c r="C22" s="67" t="inlineStr">
        <is>
          <t>2027 Summer Analyst Programme: Structured Trading Group</t>
        </is>
      </c>
      <c r="D22" s="67" t="inlineStr">
        <is>
          <t>Middle Market</t>
        </is>
      </c>
      <c r="E22" s="67" t="n"/>
      <c r="F22" s="66" t="inlineStr">
        <is>
          <t>N/A</t>
        </is>
      </c>
      <c r="G22" s="66" t="inlineStr">
        <is>
          <t>2026-11-29T00:00:00.000Z</t>
        </is>
      </c>
      <c r="H22" s="68" t="inlineStr">
        <is>
          <t>지원 링크 ↗</t>
        </is>
      </c>
    </row>
    <row r="23">
      <c r="A23" s="66" t="n">
        <v>22</v>
      </c>
      <c r="B23" s="67" t="inlineStr">
        <is>
          <t>fidelity-international</t>
        </is>
      </c>
      <c r="C23" s="67" t="inlineStr">
        <is>
          <t>Fixed Income Summer Internship 2027</t>
        </is>
      </c>
      <c r="D23" s="67" t="inlineStr">
        <is>
          <t>Asset Management</t>
        </is>
      </c>
      <c r="E23" s="67" t="n"/>
      <c r="F23" s="66" t="inlineStr">
        <is>
          <t>N/A</t>
        </is>
      </c>
      <c r="G23" s="66" t="inlineStr">
        <is>
          <t>2026-11-15T00:00:00.000Z</t>
        </is>
      </c>
      <c r="H23" s="68" t="inlineStr">
        <is>
          <t>지원 링크 ↗</t>
        </is>
      </c>
    </row>
    <row r="24">
      <c r="A24" s="66" t="n">
        <v>23</v>
      </c>
      <c r="B24" s="67" t="inlineStr">
        <is>
          <t>morgan-stanley</t>
        </is>
      </c>
      <c r="C24" s="67" t="inlineStr">
        <is>
          <t>2027 Internal Audit Summer Analyst Programme</t>
        </is>
      </c>
      <c r="D24" s="67" t="inlineStr">
        <is>
          <t>Bulge Bracket</t>
        </is>
      </c>
      <c r="E24" s="67" t="n"/>
      <c r="F24" s="66" t="inlineStr">
        <is>
          <t>N/A</t>
        </is>
      </c>
      <c r="G24" s="66" t="inlineStr">
        <is>
          <t>Rolling / Unspecified</t>
        </is>
      </c>
      <c r="H24" s="68" t="inlineStr">
        <is>
          <t>지원 링크 ↗</t>
        </is>
      </c>
    </row>
    <row r="25">
      <c r="A25" s="66" t="n">
        <v>24</v>
      </c>
      <c r="B25" s="67" t="inlineStr">
        <is>
          <t>deutsche-bank</t>
        </is>
      </c>
      <c r="C25" s="67" t="inlineStr">
        <is>
          <t>Investment Banking (UK Coverage) Internship Programme</t>
        </is>
      </c>
      <c r="D25" s="67" t="inlineStr">
        <is>
          <t>Bulge Bracket</t>
        </is>
      </c>
      <c r="E25" s="67" t="n"/>
      <c r="F25" s="66" t="inlineStr">
        <is>
          <t>N/A</t>
        </is>
      </c>
      <c r="G25" s="66" t="inlineStr">
        <is>
          <t>Rolling / Unspecified</t>
        </is>
      </c>
      <c r="H25" s="68" t="inlineStr">
        <is>
          <t>지원 링크 ↗</t>
        </is>
      </c>
    </row>
    <row r="26">
      <c r="A26" s="66" t="n">
        <v>25</v>
      </c>
      <c r="B26" s="67" t="inlineStr">
        <is>
          <t>nomura</t>
        </is>
      </c>
      <c r="C26" s="67" t="inlineStr">
        <is>
          <t>2027 - Global Markets (Sales, Trading, Structuring &amp; Research) - Summer Internship</t>
        </is>
      </c>
      <c r="D26" s="67" t="inlineStr">
        <is>
          <t>Middle Market</t>
        </is>
      </c>
      <c r="E26" s="67" t="n"/>
      <c r="F26" s="66" t="inlineStr">
        <is>
          <t>N/A</t>
        </is>
      </c>
      <c r="G26" s="66" t="inlineStr">
        <is>
          <t>Rolling / Unspecified</t>
        </is>
      </c>
      <c r="H26" s="68" t="inlineStr">
        <is>
          <t>지원 링크 ↗</t>
        </is>
      </c>
    </row>
    <row r="27">
      <c r="A27" s="66" t="n">
        <v>26</v>
      </c>
      <c r="B27" s="67" t="inlineStr">
        <is>
          <t>evercore</t>
        </is>
      </c>
      <c r="C27" s="67" t="inlineStr">
        <is>
          <t>Private Capital Advisory – GP Advisory Summer Internship</t>
        </is>
      </c>
      <c r="D27" s="67" t="inlineStr">
        <is>
          <t>Elite Boutique</t>
        </is>
      </c>
      <c r="E27" s="67" t="n"/>
      <c r="F27" s="66" t="inlineStr">
        <is>
          <t>N/A</t>
        </is>
      </c>
      <c r="G27" s="66" t="inlineStr">
        <is>
          <t>Rolling / Unspecified</t>
        </is>
      </c>
      <c r="H27" s="68" t="inlineStr">
        <is>
          <t>지원 링크 ↗</t>
        </is>
      </c>
    </row>
    <row r="28">
      <c r="A28" s="66" t="n">
        <v>27</v>
      </c>
      <c r="B28" s="67" t="inlineStr">
        <is>
          <t>j-p-morgan</t>
        </is>
      </c>
      <c r="C28" s="67" t="inlineStr">
        <is>
          <t xml:space="preserve"> 2027 Commercial &amp; Investment Banking - Research - Summer Internship</t>
        </is>
      </c>
      <c r="D28" s="67" t="inlineStr">
        <is>
          <t>Bulge Bracket</t>
        </is>
      </c>
      <c r="E28" s="67" t="n"/>
      <c r="F28" s="66" t="inlineStr">
        <is>
          <t>N/A</t>
        </is>
      </c>
      <c r="G28" s="66" t="inlineStr">
        <is>
          <t>Rolling / Unspecified</t>
        </is>
      </c>
      <c r="H28" s="68" t="inlineStr">
        <is>
          <t>지원 링크 ↗</t>
        </is>
      </c>
    </row>
    <row r="29">
      <c r="A29" s="66" t="n">
        <v>28</v>
      </c>
      <c r="B29" s="67" t="inlineStr">
        <is>
          <t>fidelity-international</t>
        </is>
      </c>
      <c r="C29" s="67" t="inlineStr">
        <is>
          <t>Equity Research Summer Internship 2027</t>
        </is>
      </c>
      <c r="D29" s="67" t="inlineStr">
        <is>
          <t>Asset Management</t>
        </is>
      </c>
      <c r="E29" s="67" t="n"/>
      <c r="F29" s="66" t="inlineStr">
        <is>
          <t>N/A</t>
        </is>
      </c>
      <c r="G29" s="66" t="inlineStr">
        <is>
          <t>2026-11-15T00:00:00.000Z</t>
        </is>
      </c>
      <c r="H29" s="68" t="inlineStr">
        <is>
          <t>지원 링크 ↗</t>
        </is>
      </c>
    </row>
    <row r="30">
      <c r="A30" s="66" t="n">
        <v>29</v>
      </c>
      <c r="B30" s="67" t="inlineStr">
        <is>
          <t>liontree</t>
        </is>
      </c>
      <c r="C30" s="67" t="inlineStr">
        <is>
          <t>2027 Summer Internship Programme</t>
        </is>
      </c>
      <c r="D30" s="67" t="inlineStr">
        <is>
          <t>Elite Boutique</t>
        </is>
      </c>
      <c r="E30" s="67" t="n"/>
      <c r="F30" s="66" t="inlineStr">
        <is>
          <t>N/A</t>
        </is>
      </c>
      <c r="G30" s="66" t="inlineStr">
        <is>
          <t>2026-09-30T00:00:00.000Z</t>
        </is>
      </c>
      <c r="H30" s="68" t="inlineStr">
        <is>
          <t>지원 링크 ↗</t>
        </is>
      </c>
    </row>
    <row r="31">
      <c r="A31" s="66" t="n">
        <v>30</v>
      </c>
      <c r="B31" s="67" t="inlineStr">
        <is>
          <t>brg</t>
        </is>
      </c>
      <c r="C31" s="67" t="inlineStr">
        <is>
          <t>Intern - Economics, Disputes and Investigations</t>
        </is>
      </c>
      <c r="D31" s="67" t="inlineStr">
        <is>
          <t>Consulting</t>
        </is>
      </c>
      <c r="E31" s="67" t="n"/>
      <c r="F31" s="66" t="inlineStr">
        <is>
          <t>N/A</t>
        </is>
      </c>
      <c r="G31" s="66" t="inlineStr">
        <is>
          <t>Rolling / Unspecified</t>
        </is>
      </c>
      <c r="H31" s="68" t="inlineStr">
        <is>
          <t>지원 링크 ↗</t>
        </is>
      </c>
    </row>
    <row r="32">
      <c r="A32" s="66" t="n">
        <v>31</v>
      </c>
      <c r="B32" s="67" t="inlineStr">
        <is>
          <t>jefferies</t>
        </is>
      </c>
      <c r="C32" s="67" t="inlineStr">
        <is>
          <t>2027 Equity Research Summer Internship Programme</t>
        </is>
      </c>
      <c r="D32" s="67" t="inlineStr">
        <is>
          <t>Middle Market</t>
        </is>
      </c>
      <c r="E32" s="67" t="n"/>
      <c r="F32" s="66" t="inlineStr">
        <is>
          <t>N/A</t>
        </is>
      </c>
      <c r="G32" s="66" t="inlineStr">
        <is>
          <t>2026-11-15T00:00:00.000Z</t>
        </is>
      </c>
      <c r="H32" s="68" t="inlineStr">
        <is>
          <t>지원 링크 ↗</t>
        </is>
      </c>
    </row>
    <row r="33">
      <c r="A33" s="66" t="n">
        <v>32</v>
      </c>
      <c r="B33" s="67" t="inlineStr">
        <is>
          <t>northern-trust</t>
        </is>
      </c>
      <c r="C33" s="67" t="inlineStr">
        <is>
          <t>Summer Internship 2027</t>
        </is>
      </c>
      <c r="D33" s="67" t="inlineStr">
        <is>
          <t>Asset Management</t>
        </is>
      </c>
      <c r="E33" s="67" t="n"/>
      <c r="F33" s="66" t="inlineStr">
        <is>
          <t>N/A</t>
        </is>
      </c>
      <c r="G33" s="66" t="inlineStr">
        <is>
          <t>Rolling / Unspecified</t>
        </is>
      </c>
      <c r="H33" s="66" t="inlineStr">
        <is>
          <t>미제공 (포털직접)</t>
        </is>
      </c>
    </row>
    <row r="34">
      <c r="A34" s="66" t="n">
        <v>33</v>
      </c>
      <c r="B34" s="67" t="inlineStr">
        <is>
          <t>axa</t>
        </is>
      </c>
      <c r="C34" s="67" t="inlineStr">
        <is>
          <t>2027 Summer Internship</t>
        </is>
      </c>
      <c r="D34" s="67" t="inlineStr">
        <is>
          <t>Pensions and Insurance</t>
        </is>
      </c>
      <c r="E34" s="67" t="n"/>
      <c r="F34" s="66" t="inlineStr">
        <is>
          <t>N/A</t>
        </is>
      </c>
      <c r="G34" s="66" t="inlineStr">
        <is>
          <t>Rolling / Unspecified</t>
        </is>
      </c>
      <c r="H34" s="66" t="inlineStr">
        <is>
          <t>미제공 (포털직접)</t>
        </is>
      </c>
    </row>
    <row r="35">
      <c r="A35" s="66" t="n">
        <v>34</v>
      </c>
      <c r="B35" s="67" t="inlineStr">
        <is>
          <t>redburn</t>
        </is>
      </c>
      <c r="C35" s="67" t="inlineStr">
        <is>
          <t>2027 Redburn Summer Intern Programme</t>
        </is>
      </c>
      <c r="D35" s="67" t="inlineStr">
        <is>
          <t>Asset Management</t>
        </is>
      </c>
      <c r="E35" s="67" t="n"/>
      <c r="F35" s="66" t="inlineStr">
        <is>
          <t>N/A</t>
        </is>
      </c>
      <c r="G35" s="66" t="inlineStr">
        <is>
          <t>2026-09-27T00:00:00.000Z</t>
        </is>
      </c>
      <c r="H35" s="68" t="inlineStr">
        <is>
          <t>지원 링크 ↗</t>
        </is>
      </c>
    </row>
    <row r="36">
      <c r="A36" s="66" t="n">
        <v>35</v>
      </c>
      <c r="B36" s="67" t="inlineStr">
        <is>
          <t>pwc</t>
        </is>
      </c>
      <c r="C36" s="67" t="inlineStr">
        <is>
          <t>Summer Internship 2027</t>
        </is>
      </c>
      <c r="D36" s="67" t="inlineStr">
        <is>
          <t>Big 4</t>
        </is>
      </c>
      <c r="E36" s="67" t="n"/>
      <c r="F36" s="66" t="inlineStr">
        <is>
          <t>N/A</t>
        </is>
      </c>
      <c r="G36" s="66" t="inlineStr">
        <is>
          <t>Rolling / Unspecified</t>
        </is>
      </c>
      <c r="H36" s="66" t="inlineStr">
        <is>
          <t>미제공 (포털직접)</t>
        </is>
      </c>
    </row>
    <row r="37">
      <c r="A37" s="66" t="n">
        <v>36</v>
      </c>
      <c r="B37" s="67" t="inlineStr">
        <is>
          <t>national-bank</t>
        </is>
      </c>
      <c r="C37" s="67" t="inlineStr">
        <is>
          <t>Intern</t>
        </is>
      </c>
      <c r="D37" s="67" t="inlineStr">
        <is>
          <t>Middle Market</t>
        </is>
      </c>
      <c r="E37" s="67" t="n"/>
      <c r="F37" s="66" t="inlineStr">
        <is>
          <t>N/A</t>
        </is>
      </c>
      <c r="G37" s="66" t="inlineStr">
        <is>
          <t>Rolling / Unspecified</t>
        </is>
      </c>
      <c r="H37" s="66" t="inlineStr">
        <is>
          <t>미제공 (포털직접)</t>
        </is>
      </c>
    </row>
    <row r="38">
      <c r="A38" s="66" t="n">
        <v>37</v>
      </c>
      <c r="B38" s="67" t="inlineStr">
        <is>
          <t>neuberger-berman</t>
        </is>
      </c>
      <c r="C38" s="67" t="inlineStr">
        <is>
          <t>Summer Intern 2027</t>
        </is>
      </c>
      <c r="D38" s="67" t="inlineStr">
        <is>
          <t>Buy-Side</t>
        </is>
      </c>
      <c r="E38" s="67" t="n"/>
      <c r="F38" s="66" t="inlineStr">
        <is>
          <t>N/A</t>
        </is>
      </c>
      <c r="G38" s="66" t="inlineStr">
        <is>
          <t>Rolling / Unspecified</t>
        </is>
      </c>
      <c r="H38" s="66" t="inlineStr">
        <is>
          <t>미제공 (포털직접)</t>
        </is>
      </c>
    </row>
    <row r="39">
      <c r="A39" s="66" t="n">
        <v>38</v>
      </c>
      <c r="B39" s="67" t="inlineStr">
        <is>
          <t>bnp-paribas</t>
        </is>
      </c>
      <c r="C39" s="67" t="inlineStr">
        <is>
          <t>2027 Summer Internship Programme</t>
        </is>
      </c>
      <c r="D39" s="67" t="inlineStr">
        <is>
          <t>Middle Market</t>
        </is>
      </c>
      <c r="E39" s="67" t="n"/>
      <c r="F39" s="66" t="inlineStr">
        <is>
          <t>N/A</t>
        </is>
      </c>
      <c r="G39" s="66" t="inlineStr">
        <is>
          <t>Rolling / Unspecified</t>
        </is>
      </c>
      <c r="H39" s="68" t="inlineStr">
        <is>
          <t>지원 링크 ↗</t>
        </is>
      </c>
    </row>
    <row r="40">
      <c r="A40" s="66" t="n">
        <v>39</v>
      </c>
      <c r="B40" s="67" t="inlineStr">
        <is>
          <t>maven-securities</t>
        </is>
      </c>
      <c r="C40" s="67" t="inlineStr">
        <is>
          <t>Trading Spring Week 2027</t>
        </is>
      </c>
      <c r="D40" s="67" t="inlineStr">
        <is>
          <t>Trading and Quant</t>
        </is>
      </c>
      <c r="E40" s="67" t="n"/>
      <c r="F40" s="66" t="inlineStr">
        <is>
          <t>N/A</t>
        </is>
      </c>
      <c r="G40" s="66" t="inlineStr">
        <is>
          <t>Rolling / Unspecified</t>
        </is>
      </c>
      <c r="H40" s="66" t="inlineStr">
        <is>
          <t>미제공 (포털직접)</t>
        </is>
      </c>
    </row>
    <row r="41">
      <c r="A41" s="66" t="n">
        <v>40</v>
      </c>
      <c r="B41" s="67" t="inlineStr">
        <is>
          <t>cd-r</t>
        </is>
      </c>
      <c r="C41" s="67" t="inlineStr">
        <is>
          <t>Private Equity Spring Insight 2027</t>
        </is>
      </c>
      <c r="D41" s="67" t="inlineStr">
        <is>
          <t>Buy-Side</t>
        </is>
      </c>
      <c r="E41" s="67" t="n"/>
      <c r="F41" s="66" t="inlineStr">
        <is>
          <t>N/A</t>
        </is>
      </c>
      <c r="G41" s="66" t="inlineStr">
        <is>
          <t>Rolling / Unspecified</t>
        </is>
      </c>
      <c r="H41" s="66" t="inlineStr">
        <is>
          <t>미제공 (포털직접)</t>
        </is>
      </c>
    </row>
    <row r="42">
      <c r="A42" s="66" t="n">
        <v>41</v>
      </c>
      <c r="B42" s="67" t="inlineStr">
        <is>
          <t>schonfeld</t>
        </is>
      </c>
      <c r="C42" s="67" t="inlineStr">
        <is>
          <t>2027 Summer Intern</t>
        </is>
      </c>
      <c r="D42" s="67" t="inlineStr">
        <is>
          <t>Buy-Side</t>
        </is>
      </c>
      <c r="E42" s="67" t="n"/>
      <c r="F42" s="66" t="inlineStr">
        <is>
          <t>N/A</t>
        </is>
      </c>
      <c r="G42" s="66" t="inlineStr">
        <is>
          <t>Rolling / Unspecified</t>
        </is>
      </c>
      <c r="H42" s="66" t="inlineStr">
        <is>
          <t>미제공 (포털직접)</t>
        </is>
      </c>
    </row>
    <row r="43">
      <c r="A43" s="66" t="n">
        <v>42</v>
      </c>
      <c r="B43" s="67" t="inlineStr">
        <is>
          <t>quantbot-technologies</t>
        </is>
      </c>
      <c r="C43" s="67" t="inlineStr">
        <is>
          <t>Quantitative Researcher Internship - 2027</t>
        </is>
      </c>
      <c r="D43" s="67" t="inlineStr">
        <is>
          <t>Trading and Quant</t>
        </is>
      </c>
      <c r="E43" s="67" t="n"/>
      <c r="F43" s="66" t="inlineStr">
        <is>
          <t>N/A</t>
        </is>
      </c>
      <c r="G43" s="66" t="inlineStr">
        <is>
          <t>Rolling / Unspecified</t>
        </is>
      </c>
      <c r="H43" s="68" t="inlineStr">
        <is>
          <t>지원 링크 ↗</t>
        </is>
      </c>
    </row>
    <row r="44">
      <c r="A44" s="66" t="n">
        <v>43</v>
      </c>
      <c r="B44" s="67" t="inlineStr">
        <is>
          <t>pension-insurance-corporation</t>
        </is>
      </c>
      <c r="C44" s="67" t="inlineStr">
        <is>
          <t>Summer Internship</t>
        </is>
      </c>
      <c r="D44" s="67" t="inlineStr">
        <is>
          <t>Pensions and Insurance</t>
        </is>
      </c>
      <c r="E44" s="67" t="n"/>
      <c r="F44" s="66" t="inlineStr">
        <is>
          <t>N/A</t>
        </is>
      </c>
      <c r="G44" s="66" t="inlineStr">
        <is>
          <t>Rolling / Unspecified</t>
        </is>
      </c>
      <c r="H44" s="66" t="inlineStr">
        <is>
          <t>미제공 (포털직접)</t>
        </is>
      </c>
    </row>
    <row r="45">
      <c r="A45" s="66" t="n">
        <v>44</v>
      </c>
      <c r="B45" s="67" t="inlineStr">
        <is>
          <t>tower-research-capital</t>
        </is>
      </c>
      <c r="C45" s="67" t="inlineStr">
        <is>
          <t>Quantitative Trader/Researcher Summer Internship 2027</t>
        </is>
      </c>
      <c r="D45" s="67" t="inlineStr">
        <is>
          <t>Trading and Quant</t>
        </is>
      </c>
      <c r="E45" s="67" t="n"/>
      <c r="F45" s="66" t="inlineStr">
        <is>
          <t>N/A</t>
        </is>
      </c>
      <c r="G45" s="66" t="inlineStr">
        <is>
          <t>Rolling / Unspecified</t>
        </is>
      </c>
      <c r="H45" s="68" t="inlineStr">
        <is>
          <t>지원 링크 ↗</t>
        </is>
      </c>
    </row>
    <row r="46">
      <c r="A46" s="66" t="n">
        <v>45</v>
      </c>
      <c r="B46" s="67" t="inlineStr">
        <is>
          <t>tp-icap</t>
        </is>
      </c>
      <c r="C46" s="67" t="inlineStr">
        <is>
          <t>Summer Internship 2027</t>
        </is>
      </c>
      <c r="D46" s="67" t="inlineStr">
        <is>
          <t>Miscellaneous</t>
        </is>
      </c>
      <c r="E46" s="67" t="n"/>
      <c r="F46" s="66" t="inlineStr">
        <is>
          <t>N/A</t>
        </is>
      </c>
      <c r="G46" s="66" t="inlineStr">
        <is>
          <t>Rolling / Unspecified</t>
        </is>
      </c>
      <c r="H46" s="66" t="inlineStr">
        <is>
          <t>미제공 (포털직접)</t>
        </is>
      </c>
    </row>
    <row r="47">
      <c r="A47" s="66" t="n">
        <v>46</v>
      </c>
      <c r="B47" s="67" t="inlineStr">
        <is>
          <t>eq</t>
        </is>
      </c>
      <c r="C47" s="67" t="inlineStr">
        <is>
          <t>Accounting Internship</t>
        </is>
      </c>
      <c r="D47" s="67" t="inlineStr">
        <is>
          <t>Accounting and Audit</t>
        </is>
      </c>
      <c r="E47" s="67" t="n"/>
      <c r="F47" s="66" t="inlineStr">
        <is>
          <t>N/A</t>
        </is>
      </c>
      <c r="G47" s="66" t="inlineStr">
        <is>
          <t>Rolling / Unspecified</t>
        </is>
      </c>
      <c r="H47" s="66" t="inlineStr">
        <is>
          <t>미제공 (포털직접)</t>
        </is>
      </c>
    </row>
    <row r="48">
      <c r="A48" s="66" t="n">
        <v>47</v>
      </c>
      <c r="B48" s="67" t="inlineStr">
        <is>
          <t>macquarie-group</t>
        </is>
      </c>
      <c r="C48" s="67" t="inlineStr">
        <is>
          <t>2027 Asset Management Summer Internship Programme</t>
        </is>
      </c>
      <c r="D48" s="67" t="inlineStr">
        <is>
          <t>Middle Market</t>
        </is>
      </c>
      <c r="E48" s="67" t="n"/>
      <c r="F48" s="66" t="inlineStr">
        <is>
          <t>N/A</t>
        </is>
      </c>
      <c r="G48" s="66" t="inlineStr">
        <is>
          <t>Rolling / Unspecified</t>
        </is>
      </c>
      <c r="H48" s="68" t="inlineStr">
        <is>
          <t>지원 링크 ↗</t>
        </is>
      </c>
    </row>
    <row r="49">
      <c r="A49" s="66" t="n">
        <v>48</v>
      </c>
      <c r="B49" s="67" t="inlineStr">
        <is>
          <t>cygnum-capital</t>
        </is>
      </c>
      <c r="C49" s="67" t="inlineStr">
        <is>
          <t>2027 Summer Internship Programme</t>
        </is>
      </c>
      <c r="D49" s="67" t="inlineStr">
        <is>
          <t>Middle Market</t>
        </is>
      </c>
      <c r="E49" s="67" t="n"/>
      <c r="F49" s="66" t="inlineStr">
        <is>
          <t>N/A</t>
        </is>
      </c>
      <c r="G49" s="66" t="inlineStr">
        <is>
          <t>Rolling / Unspecified</t>
        </is>
      </c>
      <c r="H49" s="66" t="inlineStr">
        <is>
          <t>미제공 (포털직접)</t>
        </is>
      </c>
    </row>
    <row r="50">
      <c r="A50" s="66" t="n">
        <v>49</v>
      </c>
      <c r="B50" s="67" t="inlineStr">
        <is>
          <t>piper-sandler</t>
        </is>
      </c>
      <c r="C50" s="67" t="inlineStr">
        <is>
          <t>2027 Summer Analyst Programme</t>
        </is>
      </c>
      <c r="D50" s="67" t="inlineStr">
        <is>
          <t>Promoted, Middle Market</t>
        </is>
      </c>
      <c r="E50" s="67" t="n"/>
      <c r="F50" s="66" t="inlineStr">
        <is>
          <t>N/A</t>
        </is>
      </c>
      <c r="G50" s="66" t="inlineStr">
        <is>
          <t>Rolling / Unspecified</t>
        </is>
      </c>
      <c r="H50" s="66" t="inlineStr">
        <is>
          <t>미제공 (포털직접)</t>
        </is>
      </c>
    </row>
    <row r="51">
      <c r="A51" s="66" t="n">
        <v>50</v>
      </c>
      <c r="B51" s="67" t="inlineStr">
        <is>
          <t>insurance-advisory-partners</t>
        </is>
      </c>
      <c r="C51" s="67" t="inlineStr">
        <is>
          <t>Investment Banking Intern</t>
        </is>
      </c>
      <c r="D51" s="67" t="inlineStr">
        <is>
          <t>Middle Market</t>
        </is>
      </c>
      <c r="E51" s="67" t="n"/>
      <c r="F51" s="66" t="inlineStr">
        <is>
          <t>N/A</t>
        </is>
      </c>
      <c r="G51" s="66" t="inlineStr">
        <is>
          <t>Rolling / Unspecified</t>
        </is>
      </c>
      <c r="H51" s="66" t="inlineStr">
        <is>
          <t>미제공 (포털직접)</t>
        </is>
      </c>
    </row>
    <row r="52">
      <c r="A52" s="66" t="n">
        <v>51</v>
      </c>
      <c r="B52" s="67" t="inlineStr">
        <is>
          <t>j-p-morgan</t>
        </is>
      </c>
      <c r="C52" s="67" t="inlineStr">
        <is>
          <t>2027 Asset Management Investments- Summer Internship</t>
        </is>
      </c>
      <c r="D52" s="67" t="inlineStr">
        <is>
          <t>Bulge Bracket</t>
        </is>
      </c>
      <c r="E52" s="67" t="n"/>
      <c r="F52" s="66" t="inlineStr">
        <is>
          <t>N/A</t>
        </is>
      </c>
      <c r="G52" s="66" t="inlineStr">
        <is>
          <t>Rolling / Unspecified</t>
        </is>
      </c>
      <c r="H52" s="68" t="inlineStr">
        <is>
          <t>지원 링크 ↗</t>
        </is>
      </c>
    </row>
    <row r="53">
      <c r="A53" s="66" t="n">
        <v>52</v>
      </c>
      <c r="B53" s="67" t="inlineStr">
        <is>
          <t>verition-fund-management</t>
        </is>
      </c>
      <c r="C53" s="67" t="inlineStr">
        <is>
          <t>2027 Summer Internship</t>
        </is>
      </c>
      <c r="D53" s="67" t="inlineStr">
        <is>
          <t>Buy-Side</t>
        </is>
      </c>
      <c r="E53" s="67" t="n"/>
      <c r="F53" s="66" t="inlineStr">
        <is>
          <t>N/A</t>
        </is>
      </c>
      <c r="G53" s="66" t="inlineStr">
        <is>
          <t>Rolling / Unspecified</t>
        </is>
      </c>
      <c r="H53" s="66" t="inlineStr">
        <is>
          <t>미제공 (포털직접)</t>
        </is>
      </c>
    </row>
    <row r="54">
      <c r="A54" s="66" t="n">
        <v>53</v>
      </c>
      <c r="B54" s="67" t="inlineStr">
        <is>
          <t>nuveen</t>
        </is>
      </c>
      <c r="C54" s="67" t="inlineStr">
        <is>
          <t>Summer Intern 2027</t>
        </is>
      </c>
      <c r="D54" s="67" t="inlineStr">
        <is>
          <t>Asset Management</t>
        </is>
      </c>
      <c r="E54" s="67" t="n"/>
      <c r="F54" s="66" t="inlineStr">
        <is>
          <t>N/A</t>
        </is>
      </c>
      <c r="G54" s="66" t="inlineStr">
        <is>
          <t>Rolling / Unspecified</t>
        </is>
      </c>
      <c r="H54" s="66" t="inlineStr">
        <is>
          <t>미제공 (포털직접)</t>
        </is>
      </c>
    </row>
    <row r="55">
      <c r="A55" s="66" t="n">
        <v>54</v>
      </c>
      <c r="B55" s="67" t="inlineStr">
        <is>
          <t>liquidnet</t>
        </is>
      </c>
      <c r="C55" s="67" t="inlineStr">
        <is>
          <t>Summer Internship 2027</t>
        </is>
      </c>
      <c r="D55" s="67" t="inlineStr">
        <is>
          <t>Trading and Quant</t>
        </is>
      </c>
      <c r="E55" s="67" t="n"/>
      <c r="F55" s="66" t="inlineStr">
        <is>
          <t>N/A</t>
        </is>
      </c>
      <c r="G55" s="66" t="inlineStr">
        <is>
          <t>Rolling / Unspecified</t>
        </is>
      </c>
      <c r="H55" s="66" t="inlineStr">
        <is>
          <t>미제공 (포털직접)</t>
        </is>
      </c>
    </row>
    <row r="56">
      <c r="A56" s="66" t="n">
        <v>55</v>
      </c>
      <c r="B56" s="67" t="inlineStr">
        <is>
          <t>optiver</t>
        </is>
      </c>
      <c r="C56" s="67" t="inlineStr">
        <is>
          <t>Quantitative Trading Internship (2027 Start)</t>
        </is>
      </c>
      <c r="D56" s="67" t="inlineStr">
        <is>
          <t>Trading and Quant</t>
        </is>
      </c>
      <c r="E56" s="67" t="n"/>
      <c r="F56" s="66" t="inlineStr">
        <is>
          <t>N/A</t>
        </is>
      </c>
      <c r="G56" s="66" t="inlineStr">
        <is>
          <t>Rolling / Unspecified</t>
        </is>
      </c>
      <c r="H56" s="68" t="inlineStr">
        <is>
          <t>지원 링크 ↗</t>
        </is>
      </c>
    </row>
    <row r="57">
      <c r="A57" s="66" t="n">
        <v>56</v>
      </c>
      <c r="B57" s="67" t="inlineStr">
        <is>
          <t>m-g</t>
        </is>
      </c>
      <c r="C57" s="67" t="inlineStr">
        <is>
          <t>Summer Internship</t>
        </is>
      </c>
      <c r="D57" s="67" t="inlineStr">
        <is>
          <t>Asset Management</t>
        </is>
      </c>
      <c r="E57" s="67" t="n"/>
      <c r="F57" s="66" t="inlineStr">
        <is>
          <t>N/A</t>
        </is>
      </c>
      <c r="G57" s="66" t="inlineStr">
        <is>
          <t>Rolling / Unspecified</t>
        </is>
      </c>
      <c r="H57" s="66" t="inlineStr">
        <is>
          <t>미제공 (포털직접)</t>
        </is>
      </c>
    </row>
    <row r="58">
      <c r="A58" s="66" t="n">
        <v>57</v>
      </c>
      <c r="B58" s="67" t="inlineStr">
        <is>
          <t>pgim</t>
        </is>
      </c>
      <c r="C58" s="67" t="inlineStr">
        <is>
          <t>Investment Analyst Intern</t>
        </is>
      </c>
      <c r="D58" s="67" t="inlineStr">
        <is>
          <t>Asset Management</t>
        </is>
      </c>
      <c r="E58" s="67" t="n"/>
      <c r="F58" s="66" t="inlineStr">
        <is>
          <t>N/A</t>
        </is>
      </c>
      <c r="G58" s="66" t="inlineStr">
        <is>
          <t>Rolling / Unspecified</t>
        </is>
      </c>
      <c r="H58" s="66" t="inlineStr">
        <is>
          <t>미제공 (포털직접)</t>
        </is>
      </c>
    </row>
    <row r="59">
      <c r="A59" s="66" t="n">
        <v>58</v>
      </c>
      <c r="B59" s="67" t="inlineStr">
        <is>
          <t>caxton-associates</t>
        </is>
      </c>
      <c r="C59" s="67" t="inlineStr">
        <is>
          <t>2027 Summer Internship Programme</t>
        </is>
      </c>
      <c r="D59" s="67" t="inlineStr">
        <is>
          <t>Buy-Side</t>
        </is>
      </c>
      <c r="E59" s="67" t="n"/>
      <c r="F59" s="66" t="inlineStr">
        <is>
          <t>N/A</t>
        </is>
      </c>
      <c r="G59" s="66" t="inlineStr">
        <is>
          <t>Rolling / Unspecified</t>
        </is>
      </c>
      <c r="H59" s="66" t="inlineStr">
        <is>
          <t>미제공 (포털직접)</t>
        </is>
      </c>
    </row>
    <row r="60">
      <c r="A60" s="66" t="n">
        <v>59</v>
      </c>
      <c r="B60" s="67" t="inlineStr">
        <is>
          <t>macro-hive</t>
        </is>
      </c>
      <c r="C60" s="67" t="inlineStr">
        <is>
          <t>2027 Summer Internship – Sales &amp; Trading</t>
        </is>
      </c>
      <c r="D60" s="67" t="inlineStr">
        <is>
          <t>Miscellaneous</t>
        </is>
      </c>
      <c r="E60" s="67" t="n"/>
      <c r="F60" s="66" t="inlineStr">
        <is>
          <t>N/A</t>
        </is>
      </c>
      <c r="G60" s="66" t="inlineStr">
        <is>
          <t>Rolling / Unspecified</t>
        </is>
      </c>
      <c r="H60" s="66" t="inlineStr">
        <is>
          <t>미제공 (포털직접)</t>
        </is>
      </c>
    </row>
    <row r="61">
      <c r="A61" s="66" t="n">
        <v>60</v>
      </c>
      <c r="B61" s="67" t="inlineStr">
        <is>
          <t>tradeweb</t>
        </is>
      </c>
      <c r="C61" s="67" t="inlineStr">
        <is>
          <t>2027 Summer Internship Program</t>
        </is>
      </c>
      <c r="D61" s="67" t="inlineStr">
        <is>
          <t>Miscellaneous</t>
        </is>
      </c>
      <c r="E61" s="67" t="n"/>
      <c r="F61" s="66" t="inlineStr">
        <is>
          <t>N/A</t>
        </is>
      </c>
      <c r="G61" s="66" t="inlineStr">
        <is>
          <t>Rolling / Unspecified</t>
        </is>
      </c>
      <c r="H61" s="66" t="inlineStr">
        <is>
          <t>미제공 (포털직접)</t>
        </is>
      </c>
    </row>
    <row r="62">
      <c r="A62" s="66" t="n">
        <v>61</v>
      </c>
      <c r="B62" s="67" t="inlineStr">
        <is>
          <t>apple</t>
        </is>
      </c>
      <c r="C62" s="67" t="inlineStr">
        <is>
          <t>Finance Development Program (FDP) - Internship - Summer 2027</t>
        </is>
      </c>
      <c r="D62" s="67" t="inlineStr">
        <is>
          <t>Miscellaneous</t>
        </is>
      </c>
      <c r="E62" s="67" t="n"/>
      <c r="F62" s="66" t="inlineStr">
        <is>
          <t>N/A</t>
        </is>
      </c>
      <c r="G62" s="66" t="inlineStr">
        <is>
          <t>Rolling / Unspecified</t>
        </is>
      </c>
      <c r="H62" s="66" t="inlineStr">
        <is>
          <t>미제공 (포털직접)</t>
        </is>
      </c>
    </row>
    <row r="63">
      <c r="A63" s="66" t="n">
        <v>62</v>
      </c>
      <c r="B63" s="67" t="inlineStr">
        <is>
          <t>platinum-peak-holdings</t>
        </is>
      </c>
      <c r="C63" s="67" t="inlineStr">
        <is>
          <t>Private Equity (M&amp;A) Intern</t>
        </is>
      </c>
      <c r="D63" s="67" t="inlineStr">
        <is>
          <t>Consulting</t>
        </is>
      </c>
      <c r="E63" s="67" t="n"/>
      <c r="F63" s="66" t="inlineStr">
        <is>
          <t>N/A</t>
        </is>
      </c>
      <c r="G63" s="66" t="inlineStr">
        <is>
          <t>Rolling / Unspecified</t>
        </is>
      </c>
      <c r="H63" s="66" t="inlineStr">
        <is>
          <t>미제공 (포털직접)</t>
        </is>
      </c>
    </row>
    <row r="64">
      <c r="A64" s="66" t="n">
        <v>63</v>
      </c>
      <c r="B64" s="67" t="inlineStr">
        <is>
          <t>canada-life</t>
        </is>
      </c>
      <c r="C64" s="67" t="inlineStr">
        <is>
          <t>Actuarial Intern</t>
        </is>
      </c>
      <c r="D64" s="67" t="inlineStr">
        <is>
          <t>Pensions and Insurance</t>
        </is>
      </c>
      <c r="E64" s="67" t="n"/>
      <c r="F64" s="66" t="inlineStr">
        <is>
          <t>N/A</t>
        </is>
      </c>
      <c r="G64" s="66" t="inlineStr">
        <is>
          <t>Rolling / Unspecified</t>
        </is>
      </c>
      <c r="H64" s="66" t="inlineStr">
        <is>
          <t>미제공 (포털직접)</t>
        </is>
      </c>
    </row>
    <row r="65">
      <c r="A65" s="66" t="n">
        <v>64</v>
      </c>
      <c r="B65" s="67" t="inlineStr">
        <is>
          <t>aig</t>
        </is>
      </c>
      <c r="C65" s="67" t="inlineStr">
        <is>
          <t>2027 Summer Internship</t>
        </is>
      </c>
      <c r="D65" s="67" t="inlineStr">
        <is>
          <t>Pensions and Insurance</t>
        </is>
      </c>
      <c r="E65" s="67" t="n"/>
      <c r="F65" s="66" t="inlineStr">
        <is>
          <t>N/A</t>
        </is>
      </c>
      <c r="G65" s="66" t="inlineStr">
        <is>
          <t>Rolling / Unspecified</t>
        </is>
      </c>
      <c r="H65" s="66" t="inlineStr">
        <is>
          <t>미제공 (포털직접)</t>
        </is>
      </c>
    </row>
    <row r="66">
      <c r="A66" s="66" t="n">
        <v>65</v>
      </c>
      <c r="B66" s="67" t="inlineStr">
        <is>
          <t>hamilton-lane</t>
        </is>
      </c>
      <c r="C66" s="67" t="inlineStr">
        <is>
          <t>Summer Intern, Portfolio Management Group</t>
        </is>
      </c>
      <c r="D66" s="67" t="inlineStr">
        <is>
          <t>Buy-Side</t>
        </is>
      </c>
      <c r="E66" s="67" t="n"/>
      <c r="F66" s="66" t="inlineStr">
        <is>
          <t>N/A</t>
        </is>
      </c>
      <c r="G66" s="66" t="inlineStr">
        <is>
          <t>Rolling / Unspecified</t>
        </is>
      </c>
      <c r="H66" s="66" t="inlineStr">
        <is>
          <t>미제공 (포털직접)</t>
        </is>
      </c>
    </row>
    <row r="67">
      <c r="A67" s="66" t="n">
        <v>66</v>
      </c>
      <c r="B67" s="67" t="inlineStr">
        <is>
          <t>kpmg</t>
        </is>
      </c>
      <c r="C67" s="67" t="inlineStr">
        <is>
          <t>Insight Penultimate Year Talent</t>
        </is>
      </c>
      <c r="D67" s="67" t="inlineStr">
        <is>
          <t>Big 4</t>
        </is>
      </c>
      <c r="E67" s="67" t="n"/>
      <c r="F67" s="66" t="inlineStr">
        <is>
          <t>N/A</t>
        </is>
      </c>
      <c r="G67" s="66" t="inlineStr">
        <is>
          <t>Rolling / Unspecified</t>
        </is>
      </c>
      <c r="H67" s="66" t="inlineStr">
        <is>
          <t>미제공 (포털직접)</t>
        </is>
      </c>
    </row>
    <row r="68">
      <c r="A68" s="66" t="n">
        <v>67</v>
      </c>
      <c r="B68" s="67" t="inlineStr">
        <is>
          <t>ey</t>
        </is>
      </c>
      <c r="C68" s="67" t="inlineStr">
        <is>
          <t>2027 Summer Internship</t>
        </is>
      </c>
      <c r="D68" s="67" t="inlineStr">
        <is>
          <t>Big 4</t>
        </is>
      </c>
      <c r="E68" s="67" t="n"/>
      <c r="F68" s="66" t="inlineStr">
        <is>
          <t>N/A</t>
        </is>
      </c>
      <c r="G68" s="66" t="inlineStr">
        <is>
          <t>Rolling / Unspecified</t>
        </is>
      </c>
      <c r="H68" s="66" t="inlineStr">
        <is>
          <t>미제공 (포털직접)</t>
        </is>
      </c>
    </row>
    <row r="69">
      <c r="A69" s="66" t="n">
        <v>68</v>
      </c>
      <c r="B69" s="67" t="inlineStr">
        <is>
          <t>rede-partners</t>
        </is>
      </c>
      <c r="C69" s="67" t="inlineStr">
        <is>
          <t>Spring into Rede Insight Programme 2027</t>
        </is>
      </c>
      <c r="D69" s="67" t="inlineStr">
        <is>
          <t>Middle Market</t>
        </is>
      </c>
      <c r="E69" s="67" t="n"/>
      <c r="F69" s="66" t="inlineStr">
        <is>
          <t>N/A</t>
        </is>
      </c>
      <c r="G69" s="66" t="inlineStr">
        <is>
          <t>Rolling / Unspecified</t>
        </is>
      </c>
      <c r="H69" s="66" t="inlineStr">
        <is>
          <t>미제공 (포털직접)</t>
        </is>
      </c>
    </row>
    <row r="70">
      <c r="A70" s="66" t="n">
        <v>69</v>
      </c>
      <c r="B70" s="67" t="inlineStr">
        <is>
          <t>bp</t>
        </is>
      </c>
      <c r="C70" s="67" t="inlineStr">
        <is>
          <t>Summer Internship - Trading &amp; Shipping</t>
        </is>
      </c>
      <c r="D70" s="67" t="inlineStr">
        <is>
          <t>Trading and Quant</t>
        </is>
      </c>
      <c r="E70" s="67" t="n"/>
      <c r="F70" s="66" t="inlineStr">
        <is>
          <t>N/A</t>
        </is>
      </c>
      <c r="G70" s="66" t="inlineStr">
        <is>
          <t>Rolling / Unspecified</t>
        </is>
      </c>
      <c r="H70" s="66" t="inlineStr">
        <is>
          <t>미제공 (포털직접)</t>
        </is>
      </c>
    </row>
    <row r="71">
      <c r="A71" s="66" t="n">
        <v>70</v>
      </c>
      <c r="B71" s="67" t="inlineStr">
        <is>
          <t>citco</t>
        </is>
      </c>
      <c r="C71" s="67" t="inlineStr">
        <is>
          <t>12 Week Fund Services Internship</t>
        </is>
      </c>
      <c r="D71" s="67" t="inlineStr">
        <is>
          <t>Miscellaneous</t>
        </is>
      </c>
      <c r="E71" s="67" t="n"/>
      <c r="F71" s="66" t="inlineStr">
        <is>
          <t>N/A</t>
        </is>
      </c>
      <c r="G71" s="66" t="inlineStr">
        <is>
          <t>Rolling / Unspecified</t>
        </is>
      </c>
      <c r="H71" s="66" t="inlineStr">
        <is>
          <t>미제공 (포털직접)</t>
        </is>
      </c>
    </row>
    <row r="72">
      <c r="A72" s="66" t="n">
        <v>71</v>
      </c>
      <c r="B72" s="67" t="inlineStr">
        <is>
          <t>compound-equity-group</t>
        </is>
      </c>
      <c r="C72" s="67" t="inlineStr">
        <is>
          <t>Junior Investor (Summer 2027 Internship)</t>
        </is>
      </c>
      <c r="D72" s="67" t="inlineStr">
        <is>
          <t>Buy-Side</t>
        </is>
      </c>
      <c r="E72" s="67" t="n"/>
      <c r="F72" s="66" t="inlineStr">
        <is>
          <t>N/A</t>
        </is>
      </c>
      <c r="G72" s="66" t="inlineStr">
        <is>
          <t>Rolling / Unspecified</t>
        </is>
      </c>
      <c r="H72" s="66" t="inlineStr">
        <is>
          <t>미제공 (포털직접)</t>
        </is>
      </c>
    </row>
    <row r="73">
      <c r="A73" s="66" t="n">
        <v>72</v>
      </c>
      <c r="B73" s="67" t="inlineStr">
        <is>
          <t>nomura</t>
        </is>
      </c>
      <c r="C73" s="67" t="inlineStr">
        <is>
          <t>2027 - Global Markets Digital Office - Summer Internship (Quants &amp; Strats)</t>
        </is>
      </c>
      <c r="D73" s="67" t="inlineStr">
        <is>
          <t>Middle Market</t>
        </is>
      </c>
      <c r="E73" s="67" t="n"/>
      <c r="F73" s="66" t="inlineStr">
        <is>
          <t>N/A</t>
        </is>
      </c>
      <c r="G73" s="66" t="inlineStr">
        <is>
          <t>Rolling / Unspecified</t>
        </is>
      </c>
      <c r="H73" s="68" t="inlineStr">
        <is>
          <t>지원 링크 ↗</t>
        </is>
      </c>
    </row>
    <row r="74">
      <c r="A74" s="66" t="n">
        <v>73</v>
      </c>
      <c r="B74" s="67" t="inlineStr">
        <is>
          <t>dare</t>
        </is>
      </c>
      <c r="C74" s="67" t="inlineStr">
        <is>
          <t>Spring Insight Week 2027</t>
        </is>
      </c>
      <c r="D74" s="67" t="inlineStr">
        <is>
          <t>Trading and Quant</t>
        </is>
      </c>
      <c r="E74" s="67" t="n"/>
      <c r="F74" s="66" t="inlineStr">
        <is>
          <t>N/A</t>
        </is>
      </c>
      <c r="G74" s="66" t="inlineStr">
        <is>
          <t>Rolling / Unspecified</t>
        </is>
      </c>
      <c r="H74" s="66" t="inlineStr">
        <is>
          <t>미제공 (포털직접)</t>
        </is>
      </c>
    </row>
    <row r="75">
      <c r="A75" s="66" t="n">
        <v>74</v>
      </c>
      <c r="B75" s="67" t="inlineStr">
        <is>
          <t>genesis-quant-capital</t>
        </is>
      </c>
      <c r="C75" s="67" t="inlineStr">
        <is>
          <t>Junior Quant Researcher</t>
        </is>
      </c>
      <c r="D75" s="67" t="inlineStr">
        <is>
          <t>Trading and Quant</t>
        </is>
      </c>
      <c r="E75" s="67" t="n"/>
      <c r="F75" s="66" t="inlineStr">
        <is>
          <t>N/A</t>
        </is>
      </c>
      <c r="G75" s="66" t="inlineStr">
        <is>
          <t>Rolling / Unspecified</t>
        </is>
      </c>
      <c r="H75" s="66" t="inlineStr">
        <is>
          <t>미제공 (포털직접)</t>
        </is>
      </c>
    </row>
    <row r="76">
      <c r="A76" s="66" t="n">
        <v>75</v>
      </c>
      <c r="B76" s="67" t="inlineStr">
        <is>
          <t>future-planet-capital</t>
        </is>
      </c>
      <c r="C76" s="67" t="inlineStr">
        <is>
          <t>Venture Capital &amp; Investment Micro-Internship - March 2027</t>
        </is>
      </c>
      <c r="D76" s="67" t="inlineStr">
        <is>
          <t>Buy-Side</t>
        </is>
      </c>
      <c r="E76" s="67" t="n"/>
      <c r="F76" s="66" t="inlineStr">
        <is>
          <t>N/A</t>
        </is>
      </c>
      <c r="G76" s="66" t="inlineStr">
        <is>
          <t>Rolling / Unspecified</t>
        </is>
      </c>
      <c r="H76" s="66" t="inlineStr">
        <is>
          <t>미제공 (포털직접)</t>
        </is>
      </c>
    </row>
    <row r="77">
      <c r="A77" s="66" t="n">
        <v>76</v>
      </c>
      <c r="B77" s="67" t="inlineStr">
        <is>
          <t>ey-parthenon</t>
        </is>
      </c>
      <c r="C77" s="67" t="inlineStr">
        <is>
          <t>Summer Internship 2027</t>
        </is>
      </c>
      <c r="D77" s="67" t="inlineStr">
        <is>
          <t>Consulting</t>
        </is>
      </c>
      <c r="E77" s="67" t="n"/>
      <c r="F77" s="66" t="inlineStr">
        <is>
          <t>N/A</t>
        </is>
      </c>
      <c r="G77" s="66" t="inlineStr">
        <is>
          <t>Rolling / Unspecified</t>
        </is>
      </c>
      <c r="H77" s="66" t="inlineStr">
        <is>
          <t>미제공 (포털직접)</t>
        </is>
      </c>
    </row>
    <row r="78">
      <c r="A78" s="66" t="n">
        <v>77</v>
      </c>
      <c r="B78" s="67" t="inlineStr">
        <is>
          <t>skagen-capital</t>
        </is>
      </c>
      <c r="C78" s="67" t="inlineStr">
        <is>
          <t>Investment banking intern</t>
        </is>
      </c>
      <c r="D78" s="67" t="inlineStr">
        <is>
          <t>Middle Market</t>
        </is>
      </c>
      <c r="E78" s="67" t="n"/>
      <c r="F78" s="66" t="inlineStr">
        <is>
          <t>N/A</t>
        </is>
      </c>
      <c r="G78" s="66" t="inlineStr">
        <is>
          <t>Rolling / Unspecified</t>
        </is>
      </c>
      <c r="H78" s="66" t="inlineStr">
        <is>
          <t>미제공 (포털직접)</t>
        </is>
      </c>
    </row>
    <row r="79">
      <c r="A79" s="66" t="n">
        <v>78</v>
      </c>
      <c r="B79" s="67" t="inlineStr">
        <is>
          <t>capital-group</t>
        </is>
      </c>
      <c r="C79" s="67" t="inlineStr">
        <is>
          <t>CAP Summer Associate - Europe (2027)</t>
        </is>
      </c>
      <c r="D79" s="67" t="inlineStr">
        <is>
          <t>Asset Management</t>
        </is>
      </c>
      <c r="E79" s="67" t="n"/>
      <c r="F79" s="66" t="inlineStr">
        <is>
          <t>N/A</t>
        </is>
      </c>
      <c r="G79" s="66" t="inlineStr">
        <is>
          <t>2026-11-01T00:00:00.000Z</t>
        </is>
      </c>
      <c r="H79" s="68" t="inlineStr">
        <is>
          <t>지원 링크 ↗</t>
        </is>
      </c>
    </row>
    <row r="80">
      <c r="A80" s="66" t="n">
        <v>79</v>
      </c>
      <c r="B80" s="67" t="inlineStr">
        <is>
          <t>superbet</t>
        </is>
      </c>
      <c r="C80" s="67" t="inlineStr">
        <is>
          <t>Sports Quantitative Analyst Intern</t>
        </is>
      </c>
      <c r="D80" s="67" t="inlineStr">
        <is>
          <t>Trading and Quant</t>
        </is>
      </c>
      <c r="E80" s="67" t="n"/>
      <c r="F80" s="66" t="inlineStr">
        <is>
          <t>N/A</t>
        </is>
      </c>
      <c r="G80" s="66" t="inlineStr">
        <is>
          <t>Rolling / Unspecified</t>
        </is>
      </c>
      <c r="H80" s="66" t="inlineStr">
        <is>
          <t>미제공 (포털직접)</t>
        </is>
      </c>
    </row>
    <row r="81">
      <c r="A81" s="66" t="n">
        <v>80</v>
      </c>
      <c r="B81" s="67" t="inlineStr">
        <is>
          <t>simon-kucher</t>
        </is>
      </c>
      <c r="C81" s="67" t="inlineStr">
        <is>
          <t>Generalist Consulting Summer Internship</t>
        </is>
      </c>
      <c r="D81" s="67" t="inlineStr">
        <is>
          <t>Consulting</t>
        </is>
      </c>
      <c r="E81" s="67" t="n"/>
      <c r="F81" s="66" t="inlineStr">
        <is>
          <t>N/A</t>
        </is>
      </c>
      <c r="G81" s="66" t="inlineStr">
        <is>
          <t>Rolling / Unspecified</t>
        </is>
      </c>
      <c r="H81" s="66" t="inlineStr">
        <is>
          <t>미제공 (포털직접)</t>
        </is>
      </c>
    </row>
    <row r="82">
      <c r="A82" s="66" t="n">
        <v>81</v>
      </c>
      <c r="B82" s="67" t="inlineStr">
        <is>
          <t>bloomberg</t>
        </is>
      </c>
      <c r="C82" s="67" t="inlineStr">
        <is>
          <t>2027 Analytics &amp; Sales Summer Internship</t>
        </is>
      </c>
      <c r="D82" s="67" t="inlineStr">
        <is>
          <t>Miscellaneous</t>
        </is>
      </c>
      <c r="E82" s="67" t="n"/>
      <c r="F82" s="66" t="inlineStr">
        <is>
          <t>N/A</t>
        </is>
      </c>
      <c r="G82" s="66" t="inlineStr">
        <is>
          <t>Rolling / Unspecified</t>
        </is>
      </c>
      <c r="H82" s="66" t="inlineStr">
        <is>
          <t>미제공 (포털직접)</t>
        </is>
      </c>
    </row>
    <row r="83">
      <c r="A83" s="66" t="n">
        <v>82</v>
      </c>
      <c r="B83" s="67" t="inlineStr">
        <is>
          <t>deutsche-bank</t>
        </is>
      </c>
      <c r="C83" s="67" t="inlineStr">
        <is>
          <t>Fixed Income and Currencies Internship Programme 2027</t>
        </is>
      </c>
      <c r="D83" s="67" t="inlineStr">
        <is>
          <t>Bulge Bracket</t>
        </is>
      </c>
      <c r="E83" s="67" t="n"/>
      <c r="F83" s="66" t="inlineStr">
        <is>
          <t>N/A</t>
        </is>
      </c>
      <c r="G83" s="66" t="inlineStr">
        <is>
          <t>Rolling / Unspecified</t>
        </is>
      </c>
      <c r="H83" s="68" t="inlineStr">
        <is>
          <t>지원 링크 ↗</t>
        </is>
      </c>
    </row>
    <row r="84">
      <c r="A84" s="66" t="n">
        <v>83</v>
      </c>
      <c r="B84" s="67" t="inlineStr">
        <is>
          <t>nomura</t>
        </is>
      </c>
      <c r="C84" s="67" t="inlineStr">
        <is>
          <t>2027 - Investment Banking - Coverage &amp; Advisory - Summer Internship</t>
        </is>
      </c>
      <c r="D84" s="67" t="inlineStr">
        <is>
          <t>Middle Market</t>
        </is>
      </c>
      <c r="E84" s="67" t="n"/>
      <c r="F84" s="66" t="inlineStr">
        <is>
          <t>N/A</t>
        </is>
      </c>
      <c r="G84" s="66" t="inlineStr">
        <is>
          <t>Rolling / Unspecified</t>
        </is>
      </c>
      <c r="H84" s="68" t="inlineStr">
        <is>
          <t>지원 링크 ↗</t>
        </is>
      </c>
    </row>
    <row r="85">
      <c r="A85" s="66" t="n">
        <v>84</v>
      </c>
      <c r="B85" s="67" t="inlineStr">
        <is>
          <t>centerview-partners</t>
        </is>
      </c>
      <c r="C85" s="67" t="inlineStr">
        <is>
          <t>2027 Summer Internship Programme</t>
        </is>
      </c>
      <c r="D85" s="67" t="inlineStr">
        <is>
          <t>Elite Boutique</t>
        </is>
      </c>
      <c r="E85" s="67" t="n"/>
      <c r="F85" s="66" t="inlineStr">
        <is>
          <t>N/A</t>
        </is>
      </c>
      <c r="G85" s="66" t="inlineStr">
        <is>
          <t>Rolling / Unspecified</t>
        </is>
      </c>
      <c r="H85" s="68" t="inlineStr">
        <is>
          <t>지원 링크 ↗</t>
        </is>
      </c>
    </row>
    <row r="86">
      <c r="A86" s="66" t="n">
        <v>85</v>
      </c>
      <c r="B86" s="67" t="inlineStr">
        <is>
          <t>grant-thornton</t>
        </is>
      </c>
      <c r="C86" s="67" t="inlineStr">
        <is>
          <t>Internship Programme (Summer 2027)</t>
        </is>
      </c>
      <c r="D86" s="67" t="inlineStr">
        <is>
          <t>Accounting and Audit</t>
        </is>
      </c>
      <c r="E86" s="67" t="n"/>
      <c r="F86" s="66" t="inlineStr">
        <is>
          <t>N/A</t>
        </is>
      </c>
      <c r="G86" s="66" t="inlineStr">
        <is>
          <t>Rolling / Unspecified</t>
        </is>
      </c>
      <c r="H86" s="66" t="inlineStr">
        <is>
          <t>미제공 (포털직접)</t>
        </is>
      </c>
    </row>
    <row r="87">
      <c r="A87" s="66" t="n">
        <v>86</v>
      </c>
      <c r="B87" s="67" t="inlineStr">
        <is>
          <t>peel-hunt</t>
        </is>
      </c>
      <c r="C87" s="67" t="inlineStr">
        <is>
          <t>Investment Banking Internship 2027</t>
        </is>
      </c>
      <c r="D87" s="67" t="inlineStr">
        <is>
          <t>Middle Market</t>
        </is>
      </c>
      <c r="E87" s="67" t="n"/>
      <c r="F87" s="66" t="inlineStr">
        <is>
          <t>N/A</t>
        </is>
      </c>
      <c r="G87" s="66" t="inlineStr">
        <is>
          <t>Rolling / Unspecified</t>
        </is>
      </c>
      <c r="H87" s="66" t="inlineStr">
        <is>
          <t>미제공 (포털직접)</t>
        </is>
      </c>
    </row>
    <row r="88">
      <c r="A88" s="66" t="n">
        <v>87</v>
      </c>
      <c r="B88" s="67" t="inlineStr">
        <is>
          <t>turner-townsend</t>
        </is>
      </c>
      <c r="C88" s="67" t="inlineStr">
        <is>
          <t>Summer Placement 2027</t>
        </is>
      </c>
      <c r="D88" s="67" t="inlineStr">
        <is>
          <t>Consulting</t>
        </is>
      </c>
      <c r="E88" s="67" t="n"/>
      <c r="F88" s="66" t="inlineStr">
        <is>
          <t>N/A</t>
        </is>
      </c>
      <c r="G88" s="66" t="inlineStr">
        <is>
          <t>Rolling / Unspecified</t>
        </is>
      </c>
      <c r="H88" s="66" t="inlineStr">
        <is>
          <t>미제공 (포털직접)</t>
        </is>
      </c>
    </row>
    <row r="89">
      <c r="A89" s="66" t="n">
        <v>88</v>
      </c>
      <c r="B89" s="67" t="inlineStr">
        <is>
          <t>abn-amro</t>
        </is>
      </c>
      <c r="C89" s="67" t="inlineStr">
        <is>
          <t>Summer Intern - Corporate DCM</t>
        </is>
      </c>
      <c r="D89" s="67" t="inlineStr">
        <is>
          <t>Middle Market</t>
        </is>
      </c>
      <c r="E89" s="67" t="n"/>
      <c r="F89" s="66" t="inlineStr">
        <is>
          <t>N/A</t>
        </is>
      </c>
      <c r="G89" s="66" t="inlineStr">
        <is>
          <t>Rolling / Unspecified</t>
        </is>
      </c>
      <c r="H89" s="66" t="inlineStr">
        <is>
          <t>미제공 (포털직접)</t>
        </is>
      </c>
    </row>
    <row r="90">
      <c r="A90" s="66" t="n">
        <v>89</v>
      </c>
      <c r="B90" s="67" t="inlineStr">
        <is>
          <t>nera</t>
        </is>
      </c>
      <c r="C90" s="67" t="inlineStr">
        <is>
          <t>Summer Internship 2027</t>
        </is>
      </c>
      <c r="D90" s="67" t="inlineStr">
        <is>
          <t>Consulting</t>
        </is>
      </c>
      <c r="E90" s="67" t="n"/>
      <c r="F90" s="66" t="inlineStr">
        <is>
          <t>N/A</t>
        </is>
      </c>
      <c r="G90" s="66" t="inlineStr">
        <is>
          <t>Rolling / Unspecified</t>
        </is>
      </c>
      <c r="H90" s="68" t="inlineStr">
        <is>
          <t>지원 링크 ↗</t>
        </is>
      </c>
    </row>
    <row r="91">
      <c r="A91" s="66" t="n">
        <v>90</v>
      </c>
      <c r="B91" s="67" t="inlineStr">
        <is>
          <t>aquatic-capital-management</t>
        </is>
      </c>
      <c r="C91" s="67" t="inlineStr">
        <is>
          <t>Quantitative Researcher, Intern (Summer 2028)</t>
        </is>
      </c>
      <c r="D91" s="67" t="inlineStr">
        <is>
          <t>Trading and Quant</t>
        </is>
      </c>
      <c r="E91" s="67" t="n"/>
      <c r="F91" s="66" t="inlineStr">
        <is>
          <t>N/A</t>
        </is>
      </c>
      <c r="G91" s="66" t="inlineStr">
        <is>
          <t>Rolling / Unspecified</t>
        </is>
      </c>
      <c r="H91" s="66" t="inlineStr">
        <is>
          <t>미제공 (포털직접)</t>
        </is>
      </c>
    </row>
    <row r="92">
      <c r="A92" s="66" t="n">
        <v>91</v>
      </c>
      <c r="B92" s="67" t="inlineStr">
        <is>
          <t>factset</t>
        </is>
      </c>
      <c r="C92" s="67" t="inlineStr">
        <is>
          <t>Internship (Summer 2027)</t>
        </is>
      </c>
      <c r="D92" s="67" t="inlineStr">
        <is>
          <t>Miscellaneous</t>
        </is>
      </c>
      <c r="E92" s="67" t="n"/>
      <c r="F92" s="66" t="inlineStr">
        <is>
          <t>N/A</t>
        </is>
      </c>
      <c r="G92" s="66" t="inlineStr">
        <is>
          <t>Rolling / Unspecified</t>
        </is>
      </c>
      <c r="H92" s="66" t="inlineStr">
        <is>
          <t>미제공 (포털직접)</t>
        </is>
      </c>
    </row>
    <row r="93">
      <c r="A93" s="66" t="n">
        <v>92</v>
      </c>
      <c r="B93" s="67" t="inlineStr">
        <is>
          <t>harris-williams</t>
        </is>
      </c>
      <c r="C93" s="67" t="inlineStr">
        <is>
          <t>2027 Summer Analyst</t>
        </is>
      </c>
      <c r="D93" s="67" t="inlineStr">
        <is>
          <t>Middle Market</t>
        </is>
      </c>
      <c r="E93" s="67" t="n"/>
      <c r="F93" s="66" t="inlineStr">
        <is>
          <t>N/A</t>
        </is>
      </c>
      <c r="G93" s="66" t="inlineStr">
        <is>
          <t>Rolling / Unspecified</t>
        </is>
      </c>
      <c r="H93" s="68" t="inlineStr">
        <is>
          <t>지원 링크 ↗</t>
        </is>
      </c>
    </row>
    <row r="94">
      <c r="A94" s="66" t="n">
        <v>93</v>
      </c>
      <c r="B94" s="67" t="inlineStr">
        <is>
          <t>tencent</t>
        </is>
      </c>
      <c r="C94" s="67" t="inlineStr">
        <is>
          <t>Business Development Intern</t>
        </is>
      </c>
      <c r="D94" s="67" t="inlineStr">
        <is>
          <t>Miscellaneous</t>
        </is>
      </c>
      <c r="E94" s="67" t="n"/>
      <c r="F94" s="66" t="inlineStr">
        <is>
          <t>N/A</t>
        </is>
      </c>
      <c r="G94" s="66" t="inlineStr">
        <is>
          <t>Rolling / Unspecified</t>
        </is>
      </c>
      <c r="H94" s="66" t="inlineStr">
        <is>
          <t>미제공 (포털직접)</t>
        </is>
      </c>
    </row>
    <row r="95">
      <c r="A95" s="66" t="n">
        <v>94</v>
      </c>
      <c r="B95" s="67" t="inlineStr">
        <is>
          <t>fide-partners</t>
        </is>
      </c>
      <c r="C95" s="67" t="inlineStr">
        <is>
          <t>Associate Consultant Intern</t>
        </is>
      </c>
      <c r="D95" s="67" t="inlineStr">
        <is>
          <t>Consulting</t>
        </is>
      </c>
      <c r="E95" s="67" t="n"/>
      <c r="F95" s="66" t="inlineStr">
        <is>
          <t>N/A</t>
        </is>
      </c>
      <c r="G95" s="66" t="inlineStr">
        <is>
          <t>Rolling / Unspecified</t>
        </is>
      </c>
      <c r="H95" s="66" t="inlineStr">
        <is>
          <t>미제공 (포털직접)</t>
        </is>
      </c>
    </row>
    <row r="96">
      <c r="A96" s="66" t="n">
        <v>95</v>
      </c>
      <c r="B96" s="67" t="inlineStr">
        <is>
          <t>wells-fargo</t>
        </is>
      </c>
      <c r="C96" s="67" t="inlineStr">
        <is>
          <t>EMEA Banking Summer Analyst</t>
        </is>
      </c>
      <c r="D96" s="67" t="inlineStr">
        <is>
          <t>Middle Market</t>
        </is>
      </c>
      <c r="E96" s="67" t="n"/>
      <c r="F96" s="66" t="inlineStr">
        <is>
          <t>N/A</t>
        </is>
      </c>
      <c r="G96" s="66" t="inlineStr">
        <is>
          <t>2026-10-31T00:00:00.000Z</t>
        </is>
      </c>
      <c r="H96" s="68" t="inlineStr">
        <is>
          <t>지원 링크 ↗</t>
        </is>
      </c>
    </row>
    <row r="97">
      <c r="A97" s="66" t="n">
        <v>96</v>
      </c>
      <c r="B97" s="67" t="inlineStr">
        <is>
          <t>korn-ferry</t>
        </is>
      </c>
      <c r="C97" s="67" t="inlineStr">
        <is>
          <t>UK Summer Internship</t>
        </is>
      </c>
      <c r="D97" s="67" t="inlineStr">
        <is>
          <t>Consulting</t>
        </is>
      </c>
      <c r="E97" s="67" t="n"/>
      <c r="F97" s="66" t="inlineStr">
        <is>
          <t>N/A</t>
        </is>
      </c>
      <c r="G97" s="66" t="inlineStr">
        <is>
          <t>Rolling / Unspecified</t>
        </is>
      </c>
      <c r="H97" s="66" t="inlineStr">
        <is>
          <t>미제공 (포털직접)</t>
        </is>
      </c>
    </row>
    <row r="98">
      <c r="A98" s="66" t="n">
        <v>97</v>
      </c>
      <c r="B98" s="67" t="inlineStr">
        <is>
          <t>qube-rt</t>
        </is>
      </c>
      <c r="C98" s="67" t="inlineStr">
        <is>
          <t>2027 - Internship, Quantitative Research</t>
        </is>
      </c>
      <c r="D98" s="67" t="inlineStr">
        <is>
          <t>Trading and Quant</t>
        </is>
      </c>
      <c r="E98" s="67" t="n"/>
      <c r="F98" s="66" t="inlineStr">
        <is>
          <t>N/A</t>
        </is>
      </c>
      <c r="G98" s="66" t="inlineStr">
        <is>
          <t>Rolling / Unspecified</t>
        </is>
      </c>
      <c r="H98" s="68" t="inlineStr">
        <is>
          <t>지원 링크 ↗</t>
        </is>
      </c>
    </row>
    <row r="99">
      <c r="A99" s="66" t="n">
        <v>98</v>
      </c>
      <c r="B99" s="67" t="inlineStr">
        <is>
          <t>houlihan-lokey</t>
        </is>
      </c>
      <c r="C99" s="67" t="inlineStr">
        <is>
          <t>2027 Summer Financial Analyst – Capital Solutions</t>
        </is>
      </c>
      <c r="D99" s="67" t="inlineStr">
        <is>
          <t>Middle Market</t>
        </is>
      </c>
      <c r="E99" s="67" t="n"/>
      <c r="F99" s="66" t="inlineStr">
        <is>
          <t>N/A</t>
        </is>
      </c>
      <c r="G99" s="66" t="inlineStr">
        <is>
          <t>Rolling / Unspecified</t>
        </is>
      </c>
      <c r="H99" s="68" t="inlineStr">
        <is>
          <t>지원 링크 ↗</t>
        </is>
      </c>
    </row>
    <row r="100">
      <c r="A100" s="66" t="n">
        <v>99</v>
      </c>
      <c r="B100" s="67" t="inlineStr">
        <is>
          <t>government-economic-service</t>
        </is>
      </c>
      <c r="C100" s="67" t="inlineStr">
        <is>
          <t xml:space="preserve"> Summer Placement Scheme</t>
        </is>
      </c>
      <c r="D100" s="67" t="inlineStr">
        <is>
          <t>Miscellaneous</t>
        </is>
      </c>
      <c r="E100" s="67" t="n"/>
      <c r="F100" s="66" t="inlineStr">
        <is>
          <t>N/A</t>
        </is>
      </c>
      <c r="G100" s="66" t="inlineStr">
        <is>
          <t>Rolling / Unspecified</t>
        </is>
      </c>
      <c r="H100" s="66" t="inlineStr">
        <is>
          <t>미제공 (포털직접)</t>
        </is>
      </c>
    </row>
    <row r="101">
      <c r="A101" s="66" t="n">
        <v>100</v>
      </c>
      <c r="B101" s="67" t="inlineStr">
        <is>
          <t>global-gate</t>
        </is>
      </c>
      <c r="C101" s="67" t="inlineStr">
        <is>
          <t>2027 Private Equity Internship Programme</t>
        </is>
      </c>
      <c r="D101" s="67" t="inlineStr">
        <is>
          <t>Buy-Side</t>
        </is>
      </c>
      <c r="E101" s="67" t="n"/>
      <c r="F101" s="66" t="inlineStr">
        <is>
          <t>N/A</t>
        </is>
      </c>
      <c r="G101" s="66" t="inlineStr">
        <is>
          <t>Rolling / Unspecified</t>
        </is>
      </c>
      <c r="H101" s="66" t="inlineStr">
        <is>
          <t>미제공 (포털직접)</t>
        </is>
      </c>
    </row>
    <row r="102">
      <c r="A102" s="66" t="n">
        <v>101</v>
      </c>
      <c r="B102" s="67" t="inlineStr">
        <is>
          <t>d-e-shaw</t>
        </is>
      </c>
      <c r="C102" s="67" t="inlineStr">
        <is>
          <t>Trader/Analyst Intern (London) - Summer 2027</t>
        </is>
      </c>
      <c r="D102" s="67" t="inlineStr">
        <is>
          <t>Promoted, Buy-Side</t>
        </is>
      </c>
      <c r="E102" s="67" t="n"/>
      <c r="F102" s="66" t="inlineStr">
        <is>
          <t>N/A</t>
        </is>
      </c>
      <c r="G102" s="66" t="inlineStr">
        <is>
          <t>Rolling / Unspecified</t>
        </is>
      </c>
      <c r="H102" s="68" t="inlineStr">
        <is>
          <t>지원 링크 ↗</t>
        </is>
      </c>
    </row>
    <row r="103">
      <c r="A103" s="66" t="n">
        <v>102</v>
      </c>
      <c r="B103" s="67" t="inlineStr">
        <is>
          <t>analysys-mason</t>
        </is>
      </c>
      <c r="C103" s="67" t="inlineStr">
        <is>
          <t>Intern Associate Consultant, 2027</t>
        </is>
      </c>
      <c r="D103" s="67" t="inlineStr">
        <is>
          <t>Consulting</t>
        </is>
      </c>
      <c r="E103" s="67" t="n"/>
      <c r="F103" s="66" t="inlineStr">
        <is>
          <t>N/A</t>
        </is>
      </c>
      <c r="G103" s="66" t="inlineStr">
        <is>
          <t>Rolling / Unspecified</t>
        </is>
      </c>
      <c r="H103" s="66" t="inlineStr">
        <is>
          <t>미제공 (포털직접)</t>
        </is>
      </c>
    </row>
    <row r="104">
      <c r="A104" s="66" t="n">
        <v>103</v>
      </c>
      <c r="B104" s="67" t="inlineStr">
        <is>
          <t>british-land</t>
        </is>
      </c>
      <c r="C104" s="67" t="inlineStr">
        <is>
          <t>Summer Internship 2027</t>
        </is>
      </c>
      <c r="D104" s="67" t="inlineStr">
        <is>
          <t>Asset Management</t>
        </is>
      </c>
      <c r="E104" s="67" t="n"/>
      <c r="F104" s="66" t="inlineStr">
        <is>
          <t>N/A</t>
        </is>
      </c>
      <c r="G104" s="66" t="inlineStr">
        <is>
          <t>Rolling / Unspecified</t>
        </is>
      </c>
      <c r="H104" s="66" t="inlineStr">
        <is>
          <t>미제공 (포털직접)</t>
        </is>
      </c>
    </row>
    <row r="105">
      <c r="A105" s="66" t="n">
        <v>104</v>
      </c>
      <c r="B105" s="67" t="inlineStr">
        <is>
          <t>midland-heart</t>
        </is>
      </c>
      <c r="C105" s="67" t="inlineStr">
        <is>
          <t>Management Accountant - Internship (Summer)</t>
        </is>
      </c>
      <c r="D105" s="67" t="inlineStr">
        <is>
          <t>Accounting and Audit</t>
        </is>
      </c>
      <c r="E105" s="67" t="n"/>
      <c r="F105" s="66" t="inlineStr">
        <is>
          <t>N/A</t>
        </is>
      </c>
      <c r="G105" s="66" t="inlineStr">
        <is>
          <t>Rolling / Unspecified</t>
        </is>
      </c>
      <c r="H105" s="66" t="inlineStr">
        <is>
          <t>미제공 (포털직접)</t>
        </is>
      </c>
    </row>
    <row r="106">
      <c r="A106" s="66" t="n">
        <v>105</v>
      </c>
      <c r="B106" s="67" t="inlineStr">
        <is>
          <t>proxima</t>
        </is>
      </c>
      <c r="C106" s="67" t="inlineStr">
        <is>
          <t>UK Summer Internship 2027</t>
        </is>
      </c>
      <c r="D106" s="67" t="inlineStr">
        <is>
          <t>Consulting</t>
        </is>
      </c>
      <c r="E106" s="67" t="n"/>
      <c r="F106" s="66" t="inlineStr">
        <is>
          <t>N/A</t>
        </is>
      </c>
      <c r="G106" s="66" t="inlineStr">
        <is>
          <t>Rolling / Unspecified</t>
        </is>
      </c>
      <c r="H106" s="66" t="inlineStr">
        <is>
          <t>미제공 (포털직접)</t>
        </is>
      </c>
    </row>
    <row r="107">
      <c r="A107" s="66" t="n">
        <v>106</v>
      </c>
      <c r="B107" s="67" t="inlineStr">
        <is>
          <t>pjt-partners</t>
        </is>
      </c>
      <c r="C107" s="67" t="inlineStr">
        <is>
          <t>2027 Summer Analyst (Strategic Advisory &amp; Restructuring)</t>
        </is>
      </c>
      <c r="D107" s="67" t="inlineStr">
        <is>
          <t>Elite Boutique</t>
        </is>
      </c>
      <c r="E107" s="67" t="n"/>
      <c r="F107" s="66" t="inlineStr">
        <is>
          <t>N/A</t>
        </is>
      </c>
      <c r="G107" s="66" t="inlineStr">
        <is>
          <t>2026-10-04T00:00:00.000Z</t>
        </is>
      </c>
      <c r="H107" s="68" t="inlineStr">
        <is>
          <t>지원 링크 ↗</t>
        </is>
      </c>
    </row>
    <row r="108">
      <c r="A108" s="66" t="n">
        <v>107</v>
      </c>
      <c r="B108" s="67" t="inlineStr">
        <is>
          <t>alpha-fmc</t>
        </is>
      </c>
      <c r="C108" s="67" t="inlineStr">
        <is>
          <t>Summer Diversity Internship 2027</t>
        </is>
      </c>
      <c r="D108" s="67" t="inlineStr">
        <is>
          <t>Consulting</t>
        </is>
      </c>
      <c r="E108" s="67" t="n"/>
      <c r="F108" s="66" t="inlineStr">
        <is>
          <t>N/A</t>
        </is>
      </c>
      <c r="G108" s="66" t="inlineStr">
        <is>
          <t>Rolling / Unspecified</t>
        </is>
      </c>
      <c r="H108" s="66" t="inlineStr">
        <is>
          <t>미제공 (포털직접)</t>
        </is>
      </c>
    </row>
    <row r="109">
      <c r="A109" s="66" t="n">
        <v>108</v>
      </c>
      <c r="B109" s="67" t="inlineStr">
        <is>
          <t>mizuho</t>
        </is>
      </c>
      <c r="C109" s="67" t="inlineStr">
        <is>
          <t>2027 Finance Summer Internship</t>
        </is>
      </c>
      <c r="D109" s="67" t="inlineStr">
        <is>
          <t>Middle Market</t>
        </is>
      </c>
      <c r="E109" s="67" t="n"/>
      <c r="F109" s="66" t="inlineStr">
        <is>
          <t>N/A</t>
        </is>
      </c>
      <c r="G109" s="66" t="inlineStr">
        <is>
          <t>2026-10-05T00:00:00.000Z</t>
        </is>
      </c>
      <c r="H109" s="68" t="inlineStr">
        <is>
          <t>지원 링크 ↗</t>
        </is>
      </c>
    </row>
    <row r="110">
      <c r="A110" s="66" t="n">
        <v>109</v>
      </c>
      <c r="B110" s="67" t="inlineStr">
        <is>
          <t>iqt</t>
        </is>
      </c>
      <c r="C110" s="67" t="inlineStr">
        <is>
          <t>Investment Associate Internship (US Citizens Only)</t>
        </is>
      </c>
      <c r="D110" s="67" t="inlineStr">
        <is>
          <t>Buy-Side</t>
        </is>
      </c>
      <c r="E110" s="67" t="n"/>
      <c r="F110" s="66" t="inlineStr">
        <is>
          <t>N/A</t>
        </is>
      </c>
      <c r="G110" s="66" t="inlineStr">
        <is>
          <t>Rolling / Unspecified</t>
        </is>
      </c>
      <c r="H110" s="66" t="inlineStr">
        <is>
          <t>미제공 (포털직접)</t>
        </is>
      </c>
    </row>
    <row r="111">
      <c r="A111" s="66" t="n">
        <v>110</v>
      </c>
      <c r="B111" s="67" t="inlineStr">
        <is>
          <t>gep</t>
        </is>
      </c>
      <c r="C111" s="67" t="inlineStr">
        <is>
          <t>Intern - Consulting 2027</t>
        </is>
      </c>
      <c r="D111" s="67" t="inlineStr">
        <is>
          <t>Consulting</t>
        </is>
      </c>
      <c r="E111" s="67" t="n"/>
      <c r="F111" s="66" t="inlineStr">
        <is>
          <t>N/A</t>
        </is>
      </c>
      <c r="G111" s="66" t="inlineStr">
        <is>
          <t>Rolling / Unspecified</t>
        </is>
      </c>
      <c r="H111" s="66" t="inlineStr">
        <is>
          <t>미제공 (포털직접)</t>
        </is>
      </c>
    </row>
    <row r="112">
      <c r="A112" s="66" t="n">
        <v>111</v>
      </c>
      <c r="B112" s="67" t="inlineStr">
        <is>
          <t>rsm</t>
        </is>
      </c>
      <c r="C112" s="67" t="inlineStr">
        <is>
          <t>Internship 2027</t>
        </is>
      </c>
      <c r="D112" s="67" t="inlineStr">
        <is>
          <t>Accounting and Audit</t>
        </is>
      </c>
      <c r="E112" s="67" t="n"/>
      <c r="F112" s="66" t="inlineStr">
        <is>
          <t>N/A</t>
        </is>
      </c>
      <c r="G112" s="66" t="inlineStr">
        <is>
          <t>Rolling / Unspecified</t>
        </is>
      </c>
      <c r="H112" s="66" t="inlineStr">
        <is>
          <t>미제공 (포털직접)</t>
        </is>
      </c>
    </row>
    <row r="113">
      <c r="A113" s="66" t="n">
        <v>112</v>
      </c>
      <c r="B113" s="67" t="inlineStr">
        <is>
          <t>australiansuper</t>
        </is>
      </c>
      <c r="C113" s="67" t="inlineStr">
        <is>
          <t>2027 Intern Program</t>
        </is>
      </c>
      <c r="D113" s="67" t="inlineStr">
        <is>
          <t>Asset Management</t>
        </is>
      </c>
      <c r="E113" s="67" t="n"/>
      <c r="F113" s="66" t="inlineStr">
        <is>
          <t>N/A</t>
        </is>
      </c>
      <c r="G113" s="66" t="inlineStr">
        <is>
          <t>Rolling / Unspecified</t>
        </is>
      </c>
      <c r="H113" s="66" t="inlineStr">
        <is>
          <t>미제공 (포털직접)</t>
        </is>
      </c>
    </row>
    <row r="114">
      <c r="A114" s="66" t="n">
        <v>113</v>
      </c>
      <c r="B114" s="67" t="inlineStr">
        <is>
          <t>kpmg</t>
        </is>
      </c>
      <c r="C114" s="67" t="inlineStr">
        <is>
          <t>Vacation Scheme - July 2027</t>
        </is>
      </c>
      <c r="D114" s="67" t="inlineStr">
        <is>
          <t>Big 4</t>
        </is>
      </c>
      <c r="E114" s="67" t="n"/>
      <c r="F114" s="66" t="inlineStr">
        <is>
          <t>N/A</t>
        </is>
      </c>
      <c r="G114" s="66" t="inlineStr">
        <is>
          <t>Rolling / Unspecified</t>
        </is>
      </c>
      <c r="H114" s="68" t="inlineStr">
        <is>
          <t>지원 링크 ↗</t>
        </is>
      </c>
    </row>
    <row r="115">
      <c r="A115" s="66" t="n">
        <v>114</v>
      </c>
      <c r="B115" s="67" t="inlineStr">
        <is>
          <t>pkf-littlejohn</t>
        </is>
      </c>
      <c r="C115" s="67" t="inlineStr">
        <is>
          <t>Summer Internship 2027</t>
        </is>
      </c>
      <c r="D115" s="67" t="inlineStr">
        <is>
          <t>Accounting and Audit</t>
        </is>
      </c>
      <c r="E115" s="67" t="n"/>
      <c r="F115" s="66" t="inlineStr">
        <is>
          <t>N/A</t>
        </is>
      </c>
      <c r="G115" s="66" t="inlineStr">
        <is>
          <t>Rolling / Unspecified</t>
        </is>
      </c>
      <c r="H115" s="66" t="inlineStr">
        <is>
          <t>미제공 (포털직접)</t>
        </is>
      </c>
    </row>
    <row r="116">
      <c r="A116" s="66" t="n">
        <v>115</v>
      </c>
      <c r="B116" s="67" t="inlineStr">
        <is>
          <t>the-dot-group</t>
        </is>
      </c>
      <c r="C116" s="67" t="inlineStr">
        <is>
          <t>2027 Summer Internship Programme</t>
        </is>
      </c>
      <c r="D116" s="67" t="inlineStr">
        <is>
          <t>Buy-Side, Real Estate</t>
        </is>
      </c>
      <c r="E116" s="67" t="n"/>
      <c r="F116" s="66" t="inlineStr">
        <is>
          <t>N/A</t>
        </is>
      </c>
      <c r="G116" s="66" t="inlineStr">
        <is>
          <t>Rolling / Unspecified</t>
        </is>
      </c>
      <c r="H116" s="66" t="inlineStr">
        <is>
          <t>미제공 (포털직접)</t>
        </is>
      </c>
    </row>
    <row r="117">
      <c r="A117" s="66" t="n">
        <v>116</v>
      </c>
      <c r="B117" s="67" t="inlineStr">
        <is>
          <t>gunvor</t>
        </is>
      </c>
      <c r="C117" s="67" t="inlineStr">
        <is>
          <t>Analytics Intern – Power &amp; Gas Trading</t>
        </is>
      </c>
      <c r="D117" s="67" t="inlineStr">
        <is>
          <t>Trading and Quant</t>
        </is>
      </c>
      <c r="E117" s="67" t="n"/>
      <c r="F117" s="66" t="inlineStr">
        <is>
          <t>N/A</t>
        </is>
      </c>
      <c r="G117" s="66" t="inlineStr">
        <is>
          <t>Rolling / Unspecified</t>
        </is>
      </c>
      <c r="H117" s="66" t="inlineStr">
        <is>
          <t>미제공 (포털직접)</t>
        </is>
      </c>
    </row>
    <row r="118">
      <c r="A118" s="66" t="n">
        <v>117</v>
      </c>
      <c r="B118" s="67" t="inlineStr">
        <is>
          <t>interpath-advisory</t>
        </is>
      </c>
      <c r="C118" s="67" t="inlineStr">
        <is>
          <t>Intern Analyst</t>
        </is>
      </c>
      <c r="D118" s="67" t="inlineStr">
        <is>
          <t>Consulting</t>
        </is>
      </c>
      <c r="E118" s="67" t="n"/>
      <c r="F118" s="66" t="inlineStr">
        <is>
          <t>N/A</t>
        </is>
      </c>
      <c r="G118" s="66" t="inlineStr">
        <is>
          <t>Rolling / Unspecified</t>
        </is>
      </c>
      <c r="H118" s="66" t="inlineStr">
        <is>
          <t>미제공 (포털직접)</t>
        </is>
      </c>
    </row>
    <row r="119">
      <c r="A119" s="66" t="n">
        <v>118</v>
      </c>
      <c r="B119" s="67" t="inlineStr">
        <is>
          <t>atlanta-wealth</t>
        </is>
      </c>
      <c r="C119" s="67" t="inlineStr">
        <is>
          <t>Equity Analyst Internship, Asset Management</t>
        </is>
      </c>
      <c r="D119" s="67" t="inlineStr">
        <is>
          <t>Asset Management</t>
        </is>
      </c>
      <c r="E119" s="67" t="n"/>
      <c r="F119" s="66" t="inlineStr">
        <is>
          <t>N/A</t>
        </is>
      </c>
      <c r="G119" s="66" t="inlineStr">
        <is>
          <t>Rolling / Unspecified</t>
        </is>
      </c>
      <c r="H119" s="66" t="inlineStr">
        <is>
          <t>미제공 (포털직접)</t>
        </is>
      </c>
    </row>
    <row r="120">
      <c r="A120" s="66" t="n">
        <v>119</v>
      </c>
      <c r="B120" s="67" t="inlineStr">
        <is>
          <t>blocktech</t>
        </is>
      </c>
      <c r="C120" s="67" t="inlineStr">
        <is>
          <t>Quantitative Researcher | Internship | Summer '27</t>
        </is>
      </c>
      <c r="D120" s="67" t="inlineStr">
        <is>
          <t>Trading and Quant</t>
        </is>
      </c>
      <c r="E120" s="67" t="n"/>
      <c r="F120" s="66" t="inlineStr">
        <is>
          <t>N/A</t>
        </is>
      </c>
      <c r="G120" s="66" t="inlineStr">
        <is>
          <t>Rolling / Unspecified</t>
        </is>
      </c>
      <c r="H120" s="68" t="inlineStr">
        <is>
          <t>지원 링크 ↗</t>
        </is>
      </c>
    </row>
    <row r="121">
      <c r="A121" s="66" t="n">
        <v>120</v>
      </c>
      <c r="B121" s="67" t="inlineStr">
        <is>
          <t>coinbase</t>
        </is>
      </c>
      <c r="C121" s="67" t="inlineStr">
        <is>
          <t>Internal Audit Intern</t>
        </is>
      </c>
      <c r="D121" s="67" t="inlineStr">
        <is>
          <t>Miscellaneous</t>
        </is>
      </c>
      <c r="E121" s="67" t="n"/>
      <c r="F121" s="66" t="inlineStr">
        <is>
          <t>N/A</t>
        </is>
      </c>
      <c r="G121" s="66" t="inlineStr">
        <is>
          <t>Rolling / Unspecified</t>
        </is>
      </c>
      <c r="H121" s="66" t="inlineStr">
        <is>
          <t>미제공 (포털직접)</t>
        </is>
      </c>
    </row>
    <row r="122">
      <c r="A122" s="66" t="n">
        <v>121</v>
      </c>
      <c r="B122" s="67" t="inlineStr">
        <is>
          <t>xy-capital</t>
        </is>
      </c>
      <c r="C122" s="67" t="inlineStr">
        <is>
          <t>2027 Summer Internship - Quant Research and Trading</t>
        </is>
      </c>
      <c r="D122" s="67" t="inlineStr">
        <is>
          <t>Trading and Quant</t>
        </is>
      </c>
      <c r="E122" s="67" t="n"/>
      <c r="F122" s="66" t="inlineStr">
        <is>
          <t>N/A</t>
        </is>
      </c>
      <c r="G122" s="66" t="inlineStr">
        <is>
          <t>2026-10-30T00:00:00.000Z</t>
        </is>
      </c>
      <c r="H122" s="68" t="inlineStr">
        <is>
          <t>지원 링크 ↗</t>
        </is>
      </c>
    </row>
    <row r="123">
      <c r="A123" s="66" t="n">
        <v>122</v>
      </c>
      <c r="B123" s="67" t="inlineStr">
        <is>
          <t>aventum-group</t>
        </is>
      </c>
      <c r="C123" s="67" t="inlineStr">
        <is>
          <t>Underwriting Assistant Intern</t>
        </is>
      </c>
      <c r="D123" s="67" t="inlineStr">
        <is>
          <t>Pensions and Insurance</t>
        </is>
      </c>
      <c r="E123" s="67" t="n"/>
      <c r="F123" s="66" t="inlineStr">
        <is>
          <t>N/A</t>
        </is>
      </c>
      <c r="G123" s="66" t="inlineStr">
        <is>
          <t>Rolling / Unspecified</t>
        </is>
      </c>
      <c r="H123" s="66" t="inlineStr">
        <is>
          <t>미제공 (포털직접)</t>
        </is>
      </c>
    </row>
    <row r="124">
      <c r="A124" s="66" t="n">
        <v>123</v>
      </c>
      <c r="B124" s="67" t="inlineStr">
        <is>
          <t>azets</t>
        </is>
      </c>
      <c r="C124" s="67" t="inlineStr">
        <is>
          <t>Corporate Finance Summer Intern</t>
        </is>
      </c>
      <c r="D124" s="67" t="inlineStr">
        <is>
          <t>Accounting and Audit</t>
        </is>
      </c>
      <c r="E124" s="67" t="n"/>
      <c r="F124" s="66" t="inlineStr">
        <is>
          <t>N/A</t>
        </is>
      </c>
      <c r="G124" s="66" t="inlineStr">
        <is>
          <t>Rolling / Unspecified</t>
        </is>
      </c>
      <c r="H124" s="66" t="inlineStr">
        <is>
          <t>미제공 (포털직접)</t>
        </is>
      </c>
    </row>
    <row r="125">
      <c r="A125" s="66" t="n">
        <v>124</v>
      </c>
      <c r="B125" s="67" t="inlineStr">
        <is>
          <t>squarepoint-capital</t>
        </is>
      </c>
      <c r="C125" s="67" t="inlineStr">
        <is>
          <t>Intern Quant Researcher</t>
        </is>
      </c>
      <c r="D125" s="67" t="inlineStr">
        <is>
          <t>Trading and Quant</t>
        </is>
      </c>
      <c r="E125" s="67" t="n"/>
      <c r="F125" s="66" t="inlineStr">
        <is>
          <t>N/A</t>
        </is>
      </c>
      <c r="G125" s="66" t="inlineStr">
        <is>
          <t>Rolling / Unspecified</t>
        </is>
      </c>
      <c r="H125" s="68" t="inlineStr">
        <is>
          <t>지원 링크 ↗</t>
        </is>
      </c>
    </row>
    <row r="126">
      <c r="A126" s="66" t="n">
        <v>125</v>
      </c>
      <c r="B126" s="67" t="inlineStr">
        <is>
          <t>lmr-partners</t>
        </is>
      </c>
      <c r="C126" s="67" t="inlineStr">
        <is>
          <t>Investments Summer Internship 2027</t>
        </is>
      </c>
      <c r="D126" s="67" t="inlineStr">
        <is>
          <t>Buy-Side</t>
        </is>
      </c>
      <c r="E126" s="67" t="n"/>
      <c r="F126" s="66" t="inlineStr">
        <is>
          <t>N/A</t>
        </is>
      </c>
      <c r="G126" s="66" t="inlineStr">
        <is>
          <t>Rolling / Unspecified</t>
        </is>
      </c>
      <c r="H126" s="66" t="inlineStr">
        <is>
          <t>미제공 (포털직접)</t>
        </is>
      </c>
    </row>
    <row r="127">
      <c r="A127" s="66" t="n">
        <v>126</v>
      </c>
      <c r="B127" s="67" t="inlineStr">
        <is>
          <t>lloyds-banking-group</t>
        </is>
      </c>
      <c r="C127" s="67" t="inlineStr">
        <is>
          <t>Summer Internship 2027</t>
        </is>
      </c>
      <c r="D127" s="67" t="inlineStr">
        <is>
          <t>Middle Market</t>
        </is>
      </c>
      <c r="E127" s="67" t="n"/>
      <c r="F127" s="66" t="inlineStr">
        <is>
          <t>N/A</t>
        </is>
      </c>
      <c r="G127" s="66" t="inlineStr">
        <is>
          <t>Rolling / Unspecified</t>
        </is>
      </c>
      <c r="H127" s="66" t="inlineStr">
        <is>
          <t>미제공 (포털직접)</t>
        </is>
      </c>
    </row>
    <row r="128">
      <c r="A128" s="66" t="n">
        <v>127</v>
      </c>
      <c r="B128" s="67" t="inlineStr">
        <is>
          <t>swiss-re</t>
        </is>
      </c>
      <c r="C128" s="67" t="inlineStr">
        <is>
          <t>Underwriting Administration Intern</t>
        </is>
      </c>
      <c r="D128" s="67" t="inlineStr">
        <is>
          <t>Pensions and Insurance</t>
        </is>
      </c>
      <c r="E128" s="67" t="n"/>
      <c r="F128" s="66" t="inlineStr">
        <is>
          <t>N/A</t>
        </is>
      </c>
      <c r="G128" s="66" t="inlineStr">
        <is>
          <t>Rolling / Unspecified</t>
        </is>
      </c>
      <c r="H128" s="66" t="inlineStr">
        <is>
          <t>미제공 (포털직접)</t>
        </is>
      </c>
    </row>
    <row r="129">
      <c r="A129" s="66" t="n">
        <v>128</v>
      </c>
      <c r="B129" s="67" t="inlineStr">
        <is>
          <t>glg</t>
        </is>
      </c>
      <c r="C129" s="67" t="inlineStr">
        <is>
          <t>GLG London Summer Internship</t>
        </is>
      </c>
      <c r="D129" s="67" t="inlineStr">
        <is>
          <t>Miscellaneous</t>
        </is>
      </c>
      <c r="E129" s="67" t="n"/>
      <c r="F129" s="66" t="inlineStr">
        <is>
          <t>N/A</t>
        </is>
      </c>
      <c r="G129" s="66" t="inlineStr">
        <is>
          <t>Rolling / Unspecified</t>
        </is>
      </c>
      <c r="H129" s="66" t="inlineStr">
        <is>
          <t>미제공 (포털직접)</t>
        </is>
      </c>
    </row>
    <row r="130">
      <c r="A130" s="66" t="n">
        <v>129</v>
      </c>
      <c r="B130" s="67" t="inlineStr">
        <is>
          <t>julius-baer</t>
        </is>
      </c>
      <c r="C130" s="67" t="inlineStr">
        <is>
          <t>Summer Internship 2027</t>
        </is>
      </c>
      <c r="D130" s="67" t="inlineStr">
        <is>
          <t>Asset Management</t>
        </is>
      </c>
      <c r="E130" s="67" t="n"/>
      <c r="F130" s="66" t="inlineStr">
        <is>
          <t>N/A</t>
        </is>
      </c>
      <c r="G130" s="66" t="inlineStr">
        <is>
          <t>Rolling / Unspecified</t>
        </is>
      </c>
      <c r="H130" s="66" t="inlineStr">
        <is>
          <t>미제공 (포털직접)</t>
        </is>
      </c>
    </row>
    <row r="131">
      <c r="A131" s="66" t="n">
        <v>130</v>
      </c>
      <c r="B131" s="67" t="inlineStr">
        <is>
          <t>ripple</t>
        </is>
      </c>
      <c r="C131" s="67" t="inlineStr">
        <is>
          <t>Quantitative Trading Intern (Summer 2027)</t>
        </is>
      </c>
      <c r="D131" s="67" t="inlineStr">
        <is>
          <t>Trading and Quant</t>
        </is>
      </c>
      <c r="E131" s="67" t="n"/>
      <c r="F131" s="66" t="inlineStr">
        <is>
          <t>N/A</t>
        </is>
      </c>
      <c r="G131" s="66" t="inlineStr">
        <is>
          <t>Rolling / Unspecified</t>
        </is>
      </c>
      <c r="H131" s="66" t="inlineStr">
        <is>
          <t>미제공 (포털직접)</t>
        </is>
      </c>
    </row>
    <row r="132">
      <c r="A132" s="66" t="n">
        <v>131</v>
      </c>
      <c r="B132" s="67" t="inlineStr">
        <is>
          <t>private-equity-insights</t>
        </is>
      </c>
      <c r="C132" s="67" t="inlineStr">
        <is>
          <t>Global Internship Program</t>
        </is>
      </c>
      <c r="D132" s="67" t="inlineStr">
        <is>
          <t>Miscellaneous</t>
        </is>
      </c>
      <c r="E132" s="67" t="n"/>
      <c r="F132" s="66" t="inlineStr">
        <is>
          <t>N/A</t>
        </is>
      </c>
      <c r="G132" s="66" t="inlineStr">
        <is>
          <t>Rolling / Unspecified</t>
        </is>
      </c>
      <c r="H132" s="66" t="inlineStr">
        <is>
          <t>미제공 (포털직접)</t>
        </is>
      </c>
    </row>
    <row r="133">
      <c r="A133" s="66" t="n">
        <v>132</v>
      </c>
      <c r="B133" s="67" t="inlineStr">
        <is>
          <t>aquatic-capital-management</t>
        </is>
      </c>
      <c r="C133" s="67" t="inlineStr">
        <is>
          <t>Quantitative Researcher, Intern (Summer 2027)</t>
        </is>
      </c>
      <c r="D133" s="67" t="inlineStr">
        <is>
          <t>Trading and Quant</t>
        </is>
      </c>
      <c r="E133" s="67" t="n"/>
      <c r="F133" s="66" t="inlineStr">
        <is>
          <t>N/A</t>
        </is>
      </c>
      <c r="G133" s="66" t="inlineStr">
        <is>
          <t>Rolling / Unspecified</t>
        </is>
      </c>
      <c r="H133" s="68" t="inlineStr">
        <is>
          <t>지원 링크 ↗</t>
        </is>
      </c>
    </row>
    <row r="134">
      <c r="A134" s="66" t="n">
        <v>133</v>
      </c>
      <c r="B134" s="67" t="inlineStr">
        <is>
          <t>dimensional-fund-advisors</t>
        </is>
      </c>
      <c r="C134" s="67" t="inlineStr">
        <is>
          <t>Asset Management Internship - Summer 2027</t>
        </is>
      </c>
      <c r="D134" s="67" t="inlineStr">
        <is>
          <t>Asset Management</t>
        </is>
      </c>
      <c r="E134" s="67" t="n"/>
      <c r="F134" s="66" t="inlineStr">
        <is>
          <t>N/A</t>
        </is>
      </c>
      <c r="G134" s="66" t="inlineStr">
        <is>
          <t>Rolling / Unspecified</t>
        </is>
      </c>
      <c r="H134" s="66" t="inlineStr">
        <is>
          <t>미제공 (포털직접)</t>
        </is>
      </c>
    </row>
    <row r="135">
      <c r="A135" s="66" t="n">
        <v>134</v>
      </c>
      <c r="B135" s="67" t="inlineStr">
        <is>
          <t>dealglobe</t>
        </is>
      </c>
      <c r="C135" s="67" t="inlineStr">
        <is>
          <t>M&amp;A Analyst Intern (Mandarin speaking)</t>
        </is>
      </c>
      <c r="D135" s="67" t="inlineStr">
        <is>
          <t>Middle Market</t>
        </is>
      </c>
      <c r="E135" s="67" t="n"/>
      <c r="F135" s="66" t="inlineStr">
        <is>
          <t>N/A</t>
        </is>
      </c>
      <c r="G135" s="66" t="inlineStr">
        <is>
          <t>Rolling / Unspecified</t>
        </is>
      </c>
      <c r="H135" s="66" t="inlineStr">
        <is>
          <t>미제공 (포털직접)</t>
        </is>
      </c>
    </row>
    <row r="136">
      <c r="A136" s="66" t="n">
        <v>135</v>
      </c>
      <c r="B136" s="67" t="inlineStr">
        <is>
          <t>btg-pactual</t>
        </is>
      </c>
      <c r="C136" s="67" t="inlineStr">
        <is>
          <t>Internship | Special Situations</t>
        </is>
      </c>
      <c r="D136" s="67" t="inlineStr">
        <is>
          <t>Middle Market</t>
        </is>
      </c>
      <c r="E136" s="67" t="n"/>
      <c r="F136" s="66" t="inlineStr">
        <is>
          <t>N/A</t>
        </is>
      </c>
      <c r="G136" s="66" t="inlineStr">
        <is>
          <t>Rolling / Unspecified</t>
        </is>
      </c>
      <c r="H136" s="66" t="inlineStr">
        <is>
          <t>미제공 (포털직접)</t>
        </is>
      </c>
    </row>
    <row r="137">
      <c r="A137" s="66" t="n">
        <v>136</v>
      </c>
      <c r="B137" s="67" t="inlineStr">
        <is>
          <t>imc-trading</t>
        </is>
      </c>
      <c r="C137" s="67" t="inlineStr">
        <is>
          <t>Trader Intern (2027)</t>
        </is>
      </c>
      <c r="D137" s="67" t="inlineStr">
        <is>
          <t>Trading and Quant</t>
        </is>
      </c>
      <c r="E137" s="67" t="n"/>
      <c r="F137" s="66" t="inlineStr">
        <is>
          <t>N/A</t>
        </is>
      </c>
      <c r="G137" s="66" t="inlineStr">
        <is>
          <t>Rolling / Unspecified</t>
        </is>
      </c>
      <c r="H137" s="68" t="inlineStr">
        <is>
          <t>지원 링크 ↗</t>
        </is>
      </c>
    </row>
    <row r="138">
      <c r="A138" s="66" t="n">
        <v>137</v>
      </c>
      <c r="B138" s="67" t="inlineStr">
        <is>
          <t>rwe</t>
        </is>
      </c>
      <c r="C138" s="67" t="inlineStr">
        <is>
          <t>Women in Trading Summer Internship Programme</t>
        </is>
      </c>
      <c r="D138" s="67" t="inlineStr">
        <is>
          <t>Trading and Quant</t>
        </is>
      </c>
      <c r="E138" s="67" t="n"/>
      <c r="F138" s="66" t="inlineStr">
        <is>
          <t>N/A</t>
        </is>
      </c>
      <c r="G138" s="66" t="inlineStr">
        <is>
          <t>Rolling / Unspecified</t>
        </is>
      </c>
      <c r="H138" s="66" t="inlineStr">
        <is>
          <t>미제공 (포털직접)</t>
        </is>
      </c>
    </row>
    <row r="139">
      <c r="A139" s="66" t="n">
        <v>138</v>
      </c>
      <c r="B139" s="67" t="inlineStr">
        <is>
          <t>hayfin-capital-management</t>
        </is>
      </c>
      <c r="C139" s="67" t="inlineStr">
        <is>
          <t>Summer Intern 2027</t>
        </is>
      </c>
      <c r="D139" s="67" t="inlineStr">
        <is>
          <t>Buy-Side</t>
        </is>
      </c>
      <c r="E139" s="67" t="n"/>
      <c r="F139" s="66" t="inlineStr">
        <is>
          <t>N/A</t>
        </is>
      </c>
      <c r="G139" s="66" t="inlineStr">
        <is>
          <t>Rolling / Unspecified</t>
        </is>
      </c>
      <c r="H139" s="66" t="inlineStr">
        <is>
          <t>미제공 (포털직접)</t>
        </is>
      </c>
    </row>
    <row r="140">
      <c r="A140" s="66" t="n">
        <v>139</v>
      </c>
      <c r="B140" s="67" t="inlineStr">
        <is>
          <t>w-p-carey</t>
        </is>
      </c>
      <c r="C140" s="67" t="inlineStr">
        <is>
          <t>Investments Summer Analyst 2027</t>
        </is>
      </c>
      <c r="D140" s="67" t="inlineStr">
        <is>
          <t>Buy-Side</t>
        </is>
      </c>
      <c r="E140" s="67" t="n"/>
      <c r="F140" s="66" t="inlineStr">
        <is>
          <t>N/A</t>
        </is>
      </c>
      <c r="G140" s="66" t="inlineStr">
        <is>
          <t>Rolling / Unspecified</t>
        </is>
      </c>
      <c r="H140" s="66" t="inlineStr">
        <is>
          <t>미제공 (포털직접)</t>
        </is>
      </c>
    </row>
    <row r="141">
      <c r="A141" s="66" t="n">
        <v>140</v>
      </c>
      <c r="B141" s="67" t="inlineStr">
        <is>
          <t>saffery</t>
        </is>
      </c>
      <c r="C141" s="67" t="inlineStr">
        <is>
          <t>Summer Internship - June 2027</t>
        </is>
      </c>
      <c r="D141" s="67" t="inlineStr">
        <is>
          <t>Accounting and Audit</t>
        </is>
      </c>
      <c r="E141" s="67" t="n"/>
      <c r="F141" s="66" t="inlineStr">
        <is>
          <t>N/A</t>
        </is>
      </c>
      <c r="G141" s="66" t="inlineStr">
        <is>
          <t>Rolling / Unspecified</t>
        </is>
      </c>
      <c r="H141" s="66" t="inlineStr">
        <is>
          <t>미제공 (포털직접)</t>
        </is>
      </c>
    </row>
    <row r="142">
      <c r="A142" s="66" t="n">
        <v>141</v>
      </c>
      <c r="B142" s="67" t="inlineStr">
        <is>
          <t>capgemini</t>
        </is>
      </c>
      <c r="C142" s="67" t="inlineStr">
        <is>
          <t>Internship Consulting or Technical routes 2027</t>
        </is>
      </c>
      <c r="D142" s="67" t="inlineStr">
        <is>
          <t>Consulting</t>
        </is>
      </c>
      <c r="E142" s="67" t="n"/>
      <c r="F142" s="66" t="inlineStr">
        <is>
          <t>N/A</t>
        </is>
      </c>
      <c r="G142" s="66" t="inlineStr">
        <is>
          <t>Rolling / Unspecified</t>
        </is>
      </c>
      <c r="H142" s="66" t="inlineStr">
        <is>
          <t>미제공 (포털직접)</t>
        </is>
      </c>
    </row>
    <row r="143">
      <c r="A143" s="66" t="n">
        <v>142</v>
      </c>
      <c r="B143" s="67" t="inlineStr">
        <is>
          <t>pictet-asset-management</t>
        </is>
      </c>
      <c r="C143" s="67" t="inlineStr">
        <is>
          <t>Equities Business Management Summer Internship 2027</t>
        </is>
      </c>
      <c r="D143" s="67" t="inlineStr">
        <is>
          <t>Buy-Side</t>
        </is>
      </c>
      <c r="E143" s="67" t="n"/>
      <c r="F143" s="66" t="inlineStr">
        <is>
          <t>N/A</t>
        </is>
      </c>
      <c r="G143" s="66" t="inlineStr">
        <is>
          <t>Rolling / Unspecified</t>
        </is>
      </c>
      <c r="H143" s="66" t="inlineStr">
        <is>
          <t>미제공 (포털직접)</t>
        </is>
      </c>
    </row>
    <row r="144">
      <c r="A144" s="66" t="n">
        <v>143</v>
      </c>
      <c r="B144" s="67" t="inlineStr">
        <is>
          <t>the-wall-street-journal</t>
        </is>
      </c>
      <c r="C144" s="67" t="inlineStr">
        <is>
          <t>Business News Internship (Summer 2027)</t>
        </is>
      </c>
      <c r="D144" s="67" t="inlineStr">
        <is>
          <t>Miscellaneous</t>
        </is>
      </c>
      <c r="E144" s="67" t="n"/>
      <c r="F144" s="66" t="inlineStr">
        <is>
          <t>N/A</t>
        </is>
      </c>
      <c r="G144" s="66" t="inlineStr">
        <is>
          <t>Rolling / Unspecified</t>
        </is>
      </c>
      <c r="H144" s="66" t="inlineStr">
        <is>
          <t>미제공 (포털직접)</t>
        </is>
      </c>
    </row>
    <row r="145">
      <c r="A145" s="66" t="n">
        <v>144</v>
      </c>
      <c r="B145" s="67" t="inlineStr">
        <is>
          <t>deloitte</t>
        </is>
      </c>
      <c r="C145" s="67" t="inlineStr">
        <is>
          <t>Summer Vacation Scheme</t>
        </is>
      </c>
      <c r="D145" s="67" t="inlineStr">
        <is>
          <t>Big 4</t>
        </is>
      </c>
      <c r="E145" s="67" t="n"/>
      <c r="F145" s="66" t="inlineStr">
        <is>
          <t>N/A</t>
        </is>
      </c>
      <c r="G145" s="66" t="inlineStr">
        <is>
          <t>Rolling / Unspecified</t>
        </is>
      </c>
      <c r="H145" s="66" t="inlineStr">
        <is>
          <t>미제공 (포털직접)</t>
        </is>
      </c>
    </row>
    <row r="146">
      <c r="A146" s="66" t="n">
        <v>145</v>
      </c>
      <c r="B146" s="67" t="inlineStr">
        <is>
          <t>edf-trading</t>
        </is>
      </c>
      <c r="C146" s="67" t="inlineStr">
        <is>
          <t>Summer Internship</t>
        </is>
      </c>
      <c r="D146" s="67" t="inlineStr">
        <is>
          <t>Trading and Quant, Promoted</t>
        </is>
      </c>
      <c r="E146" s="67" t="n"/>
      <c r="F146" s="66" t="inlineStr">
        <is>
          <t>N/A</t>
        </is>
      </c>
      <c r="G146" s="66" t="inlineStr">
        <is>
          <t>2026-08-17T00:00:00.000Z</t>
        </is>
      </c>
      <c r="H146" s="68" t="inlineStr">
        <is>
          <t>지원 링크 ↗</t>
        </is>
      </c>
    </row>
    <row r="147">
      <c r="A147" s="66" t="n">
        <v>146</v>
      </c>
      <c r="B147" s="67" t="inlineStr">
        <is>
          <t>zs</t>
        </is>
      </c>
      <c r="C147" s="67" t="inlineStr">
        <is>
          <t>Strategy Insights &amp; Planning Associate - Intern</t>
        </is>
      </c>
      <c r="D147" s="67" t="inlineStr">
        <is>
          <t>Consulting</t>
        </is>
      </c>
      <c r="E147" s="67" t="n"/>
      <c r="F147" s="66" t="inlineStr">
        <is>
          <t>N/A</t>
        </is>
      </c>
      <c r="G147" s="66" t="inlineStr">
        <is>
          <t>Rolling / Unspecified</t>
        </is>
      </c>
      <c r="H147" s="66" t="inlineStr">
        <is>
          <t>미제공 (포털직접)</t>
        </is>
      </c>
    </row>
    <row r="148">
      <c r="A148" s="66" t="n">
        <v>147</v>
      </c>
      <c r="B148" s="67" t="inlineStr">
        <is>
          <t>bank-of-england</t>
        </is>
      </c>
      <c r="C148" s="67" t="inlineStr">
        <is>
          <t>Penultimate Year Internship Programme</t>
        </is>
      </c>
      <c r="D148" s="67" t="inlineStr">
        <is>
          <t>Miscellaneous</t>
        </is>
      </c>
      <c r="E148" s="67" t="n"/>
      <c r="F148" s="66" t="inlineStr">
        <is>
          <t>N/A</t>
        </is>
      </c>
      <c r="G148" s="66" t="inlineStr">
        <is>
          <t>Rolling / Unspecified</t>
        </is>
      </c>
      <c r="H148" s="66" t="inlineStr">
        <is>
          <t>미제공 (포털직접)</t>
        </is>
      </c>
    </row>
    <row r="149">
      <c r="A149" s="66" t="n">
        <v>148</v>
      </c>
      <c r="B149" s="67" t="inlineStr">
        <is>
          <t>millennium-management</t>
        </is>
      </c>
      <c r="C149" s="67" t="inlineStr">
        <is>
          <t>Millennium Investment Internship 2028</t>
        </is>
      </c>
      <c r="D149" s="67" t="inlineStr">
        <is>
          <t>Buy-Side</t>
        </is>
      </c>
      <c r="E149" s="67" t="n"/>
      <c r="F149" s="66" t="inlineStr">
        <is>
          <t>N/A</t>
        </is>
      </c>
      <c r="G149" s="66" t="inlineStr">
        <is>
          <t>Rolling / Unspecified</t>
        </is>
      </c>
      <c r="H149" s="66" t="inlineStr">
        <is>
          <t>미제공 (포털직접)</t>
        </is>
      </c>
    </row>
    <row r="150">
      <c r="A150" s="66" t="n">
        <v>149</v>
      </c>
      <c r="B150" s="67" t="inlineStr">
        <is>
          <t>colliers</t>
        </is>
      </c>
      <c r="C150" s="67" t="inlineStr">
        <is>
          <t>Summer Internship 2027</t>
        </is>
      </c>
      <c r="D150" s="67" t="inlineStr">
        <is>
          <t>Consulting</t>
        </is>
      </c>
      <c r="E150" s="67" t="n"/>
      <c r="F150" s="66" t="inlineStr">
        <is>
          <t>N/A</t>
        </is>
      </c>
      <c r="G150" s="66" t="inlineStr">
        <is>
          <t>Rolling / Unspecified</t>
        </is>
      </c>
      <c r="H150" s="66" t="inlineStr">
        <is>
          <t>미제공 (포털직접)</t>
        </is>
      </c>
    </row>
    <row r="151">
      <c r="A151" s="66" t="n">
        <v>150</v>
      </c>
      <c r="B151" s="67" t="inlineStr">
        <is>
          <t>future-planet-capital</t>
        </is>
      </c>
      <c r="C151" s="67" t="inlineStr">
        <is>
          <t>Venture Capital Micro-Internship - December 2026</t>
        </is>
      </c>
      <c r="D151" s="67" t="inlineStr">
        <is>
          <t>Buy-Side</t>
        </is>
      </c>
      <c r="E151" s="67" t="n"/>
      <c r="F151" s="66" t="inlineStr">
        <is>
          <t>N/A</t>
        </is>
      </c>
      <c r="G151" s="66" t="inlineStr">
        <is>
          <t>Rolling / Unspecified</t>
        </is>
      </c>
      <c r="H151" s="66" t="inlineStr">
        <is>
          <t>미제공 (포털직접)</t>
        </is>
      </c>
    </row>
    <row r="152">
      <c r="A152" s="66" t="n">
        <v>151</v>
      </c>
      <c r="B152" s="67" t="inlineStr">
        <is>
          <t>legal-general</t>
        </is>
      </c>
      <c r="C152" s="67" t="inlineStr">
        <is>
          <t>Intern Programme 2027</t>
        </is>
      </c>
      <c r="D152" s="67" t="inlineStr">
        <is>
          <t>Asset Management, Pensions and Insurance, Accounting and Audit</t>
        </is>
      </c>
      <c r="E152" s="67" t="n"/>
      <c r="F152" s="66" t="inlineStr">
        <is>
          <t>N/A</t>
        </is>
      </c>
      <c r="G152" s="66" t="inlineStr">
        <is>
          <t>Rolling / Unspecified</t>
        </is>
      </c>
      <c r="H152" s="66" t="inlineStr">
        <is>
          <t>미제공 (포털직접)</t>
        </is>
      </c>
    </row>
    <row r="153">
      <c r="A153" s="66" t="n">
        <v>152</v>
      </c>
      <c r="B153" s="67" t="inlineStr">
        <is>
          <t>ithaca-energy</t>
        </is>
      </c>
      <c r="C153" s="67" t="inlineStr">
        <is>
          <t>Finance Intern</t>
        </is>
      </c>
      <c r="D153" s="67" t="inlineStr">
        <is>
          <t>Miscellaneous</t>
        </is>
      </c>
      <c r="E153" s="67" t="n"/>
      <c r="F153" s="66" t="inlineStr">
        <is>
          <t>N/A</t>
        </is>
      </c>
      <c r="G153" s="66" t="inlineStr">
        <is>
          <t>Rolling / Unspecified</t>
        </is>
      </c>
      <c r="H153" s="66" t="inlineStr">
        <is>
          <t>미제공 (포털직접)</t>
        </is>
      </c>
    </row>
    <row r="154">
      <c r="A154" s="66" t="n">
        <v>153</v>
      </c>
      <c r="B154" s="67" t="inlineStr">
        <is>
          <t>btig</t>
        </is>
      </c>
      <c r="C154" s="67" t="inlineStr">
        <is>
          <t>2027 UK Internship Program</t>
        </is>
      </c>
      <c r="D154" s="67" t="inlineStr">
        <is>
          <t>Middle Market</t>
        </is>
      </c>
      <c r="E154" s="67" t="n"/>
      <c r="F154" s="66" t="inlineStr">
        <is>
          <t>N/A</t>
        </is>
      </c>
      <c r="G154" s="66" t="inlineStr">
        <is>
          <t>Rolling / Unspecified</t>
        </is>
      </c>
      <c r="H154" s="66" t="inlineStr">
        <is>
          <t>미제공 (포털직접)</t>
        </is>
      </c>
    </row>
    <row r="155">
      <c r="A155" s="66" t="n">
        <v>154</v>
      </c>
      <c r="B155" s="67" t="inlineStr">
        <is>
          <t>qatalyst-partners</t>
        </is>
      </c>
      <c r="C155" s="67" t="inlineStr">
        <is>
          <t>2027 M&amp;A Advisory Summer Internship</t>
        </is>
      </c>
      <c r="D155" s="67" t="inlineStr">
        <is>
          <t>Elite Boutique</t>
        </is>
      </c>
      <c r="E155" s="67" t="n"/>
      <c r="F155" s="66" t="inlineStr">
        <is>
          <t>N/A</t>
        </is>
      </c>
      <c r="G155" s="66" t="inlineStr">
        <is>
          <t>Rolling / Unspecified</t>
        </is>
      </c>
      <c r="H155" s="68" t="inlineStr">
        <is>
          <t>지원 링크 ↗</t>
        </is>
      </c>
    </row>
    <row r="156">
      <c r="A156" s="66" t="n">
        <v>155</v>
      </c>
      <c r="B156" s="67" t="inlineStr">
        <is>
          <t>ubs</t>
        </is>
      </c>
      <c r="C156" s="67" t="inlineStr">
        <is>
          <t>2027 Summer Internship</t>
        </is>
      </c>
      <c r="D156" s="67" t="inlineStr">
        <is>
          <t>Bulge Bracket</t>
        </is>
      </c>
      <c r="E156" s="67" t="n"/>
      <c r="F156" s="66" t="inlineStr">
        <is>
          <t>N/A</t>
        </is>
      </c>
      <c r="G156" s="66" t="inlineStr">
        <is>
          <t>Rolling / Unspecified</t>
        </is>
      </c>
      <c r="H156" s="68" t="inlineStr">
        <is>
          <t>지원 링크 ↗</t>
        </is>
      </c>
    </row>
    <row r="157">
      <c r="A157" s="66" t="n">
        <v>156</v>
      </c>
      <c r="B157" s="67" t="inlineStr">
        <is>
          <t>stepstone-group</t>
        </is>
      </c>
      <c r="C157" s="67" t="inlineStr">
        <is>
          <t>2027 Private Equity Summer Analyst</t>
        </is>
      </c>
      <c r="D157" s="67" t="inlineStr">
        <is>
          <t>Buy-Side</t>
        </is>
      </c>
      <c r="E157" s="67" t="n"/>
      <c r="F157" s="66" t="inlineStr">
        <is>
          <t>N/A</t>
        </is>
      </c>
      <c r="G157" s="66" t="inlineStr">
        <is>
          <t>Rolling / Unspecified</t>
        </is>
      </c>
      <c r="H157" s="66" t="inlineStr">
        <is>
          <t>미제공 (포털직접)</t>
        </is>
      </c>
    </row>
    <row r="158">
      <c r="A158" s="66" t="n">
        <v>157</v>
      </c>
      <c r="B158" s="67" t="inlineStr">
        <is>
          <t>natwest-markets</t>
        </is>
      </c>
      <c r="C158" s="67" t="inlineStr">
        <is>
          <t>Front Office - Internship</t>
        </is>
      </c>
      <c r="D158" s="67" t="inlineStr">
        <is>
          <t>Middle Market</t>
        </is>
      </c>
      <c r="E158" s="67" t="n"/>
      <c r="F158" s="66" t="inlineStr">
        <is>
          <t>N/A</t>
        </is>
      </c>
      <c r="G158" s="66" t="inlineStr">
        <is>
          <t>Rolling / Unspecified</t>
        </is>
      </c>
      <c r="H158" s="66" t="inlineStr">
        <is>
          <t>미제공 (포털직접)</t>
        </is>
      </c>
    </row>
    <row r="159">
      <c r="A159" s="66" t="n">
        <v>158</v>
      </c>
      <c r="B159" s="67" t="inlineStr">
        <is>
          <t>morgan-stanley</t>
        </is>
      </c>
      <c r="C159" s="67" t="inlineStr">
        <is>
          <t>2027 Sales &amp; Trading Summer Analyst Programme</t>
        </is>
      </c>
      <c r="D159" s="67" t="inlineStr">
        <is>
          <t>Bulge Bracket</t>
        </is>
      </c>
      <c r="E159" s="67" t="n"/>
      <c r="F159" s="66" t="inlineStr">
        <is>
          <t>N/A</t>
        </is>
      </c>
      <c r="G159" s="66" t="inlineStr">
        <is>
          <t>Rolling / Unspecified</t>
        </is>
      </c>
      <c r="H159" s="68" t="inlineStr">
        <is>
          <t>지원 링크 ↗</t>
        </is>
      </c>
    </row>
    <row r="160">
      <c r="A160" s="66" t="n">
        <v>159</v>
      </c>
      <c r="B160" s="67" t="inlineStr">
        <is>
          <t>canary-wharf-group</t>
        </is>
      </c>
      <c r="C160" s="67" t="inlineStr">
        <is>
          <t>Internship Programme 2027</t>
        </is>
      </c>
      <c r="D160" s="67" t="inlineStr">
        <is>
          <t>Real Estate</t>
        </is>
      </c>
      <c r="E160" s="67" t="n"/>
      <c r="F160" s="66" t="inlineStr">
        <is>
          <t>N/A</t>
        </is>
      </c>
      <c r="G160" s="66" t="inlineStr">
        <is>
          <t>Rolling / Unspecified</t>
        </is>
      </c>
      <c r="H160" s="66" t="inlineStr">
        <is>
          <t>미제공 (포털직접)</t>
        </is>
      </c>
    </row>
    <row r="161">
      <c r="A161" s="66" t="n">
        <v>160</v>
      </c>
      <c r="B161" s="67" t="inlineStr">
        <is>
          <t>panmure-liberum</t>
        </is>
      </c>
      <c r="C161" s="67" t="inlineStr">
        <is>
          <t>2027 Summer Internship Programme</t>
        </is>
      </c>
      <c r="D161" s="67" t="inlineStr">
        <is>
          <t>Middle Market</t>
        </is>
      </c>
      <c r="E161" s="67" t="n"/>
      <c r="F161" s="66" t="inlineStr">
        <is>
          <t>N/A</t>
        </is>
      </c>
      <c r="G161" s="66" t="inlineStr">
        <is>
          <t>Rolling / Unspecified</t>
        </is>
      </c>
      <c r="H161" s="66" t="inlineStr">
        <is>
          <t>미제공 (포털직접)</t>
        </is>
      </c>
    </row>
    <row r="162">
      <c r="A162" s="66" t="n">
        <v>161</v>
      </c>
      <c r="B162" s="67" t="inlineStr">
        <is>
          <t>nationwide</t>
        </is>
      </c>
      <c r="C162" s="67" t="inlineStr">
        <is>
          <t>2027 Summer Internship</t>
        </is>
      </c>
      <c r="D162" s="67" t="inlineStr">
        <is>
          <t>Miscellaneous</t>
        </is>
      </c>
      <c r="E162" s="67" t="n"/>
      <c r="F162" s="66" t="inlineStr">
        <is>
          <t>N/A</t>
        </is>
      </c>
      <c r="G162" s="66" t="inlineStr">
        <is>
          <t>Rolling / Unspecified</t>
        </is>
      </c>
      <c r="H162" s="66" t="inlineStr">
        <is>
          <t>미제공 (포털직접)</t>
        </is>
      </c>
    </row>
    <row r="163">
      <c r="A163" s="66" t="n">
        <v>162</v>
      </c>
      <c r="B163" s="67" t="inlineStr">
        <is>
          <t>affinius-capital</t>
        </is>
      </c>
      <c r="C163" s="67" t="inlineStr">
        <is>
          <t>Summer 2027 Intern</t>
        </is>
      </c>
      <c r="D163" s="67" t="inlineStr">
        <is>
          <t>Buy-Side</t>
        </is>
      </c>
      <c r="E163" s="67" t="n"/>
      <c r="F163" s="66" t="inlineStr">
        <is>
          <t>N/A</t>
        </is>
      </c>
      <c r="G163" s="66" t="inlineStr">
        <is>
          <t>Rolling / Unspecified</t>
        </is>
      </c>
      <c r="H163" s="66" t="inlineStr">
        <is>
          <t>미제공 (포털직접)</t>
        </is>
      </c>
    </row>
    <row r="164">
      <c r="A164" s="66" t="n">
        <v>163</v>
      </c>
      <c r="B164" s="67" t="inlineStr">
        <is>
          <t>alvine-capital</t>
        </is>
      </c>
      <c r="C164" s="67" t="inlineStr">
        <is>
          <t>Summer Intern - London, UK</t>
        </is>
      </c>
      <c r="D164" s="67" t="inlineStr">
        <is>
          <t>Buy-Side</t>
        </is>
      </c>
      <c r="E164" s="67" t="n"/>
      <c r="F164" s="66" t="inlineStr">
        <is>
          <t>N/A</t>
        </is>
      </c>
      <c r="G164" s="66" t="inlineStr">
        <is>
          <t>Rolling / Unspecified</t>
        </is>
      </c>
      <c r="H164" s="66" t="inlineStr">
        <is>
          <t>미제공 (포털직접)</t>
        </is>
      </c>
    </row>
    <row r="165">
      <c r="A165" s="66" t="n">
        <v>164</v>
      </c>
      <c r="B165" s="67" t="inlineStr">
        <is>
          <t>standard-chartered</t>
        </is>
      </c>
      <c r="C165" s="67" t="inlineStr">
        <is>
          <t>Internship Programme 2027</t>
        </is>
      </c>
      <c r="D165" s="67" t="inlineStr">
        <is>
          <t>Middle Market</t>
        </is>
      </c>
      <c r="E165" s="67" t="n"/>
      <c r="F165" s="66" t="inlineStr">
        <is>
          <t>N/A</t>
        </is>
      </c>
      <c r="G165" s="66" t="inlineStr">
        <is>
          <t>2026-12-31T00:00:00.000Z</t>
        </is>
      </c>
      <c r="H165" s="68" t="inlineStr">
        <is>
          <t>지원 링크 ↗</t>
        </is>
      </c>
    </row>
    <row r="166">
      <c r="A166" s="66" t="n">
        <v>165</v>
      </c>
      <c r="B166" s="67" t="inlineStr">
        <is>
          <t>burford-capital</t>
        </is>
      </c>
      <c r="C166" s="67" t="inlineStr">
        <is>
          <t>Summer Analyst Internship</t>
        </is>
      </c>
      <c r="D166" s="67" t="inlineStr">
        <is>
          <t>Buy-Side</t>
        </is>
      </c>
      <c r="E166" s="67" t="n"/>
      <c r="F166" s="66" t="inlineStr">
        <is>
          <t>N/A</t>
        </is>
      </c>
      <c r="G166" s="66" t="inlineStr">
        <is>
          <t>Rolling / Unspecified</t>
        </is>
      </c>
      <c r="H166" s="66" t="inlineStr">
        <is>
          <t>미제공 (포털직접)</t>
        </is>
      </c>
    </row>
    <row r="167">
      <c r="A167" s="66" t="n">
        <v>166</v>
      </c>
      <c r="B167" s="67" t="inlineStr">
        <is>
          <t>baird</t>
        </is>
      </c>
      <c r="C167" s="67" t="inlineStr">
        <is>
          <t>2027 Global Investment Banking - M&amp;A Summer Internship</t>
        </is>
      </c>
      <c r="D167" s="67" t="inlineStr">
        <is>
          <t>Middle Market</t>
        </is>
      </c>
      <c r="E167" s="67" t="n"/>
      <c r="F167" s="66" t="inlineStr">
        <is>
          <t>N/A</t>
        </is>
      </c>
      <c r="G167" s="66" t="inlineStr">
        <is>
          <t>2026-10-02T00:00:00.000Z</t>
        </is>
      </c>
      <c r="H167" s="68" t="inlineStr">
        <is>
          <t>지원 링크 ↗</t>
        </is>
      </c>
    </row>
    <row r="168">
      <c r="A168" s="66" t="n">
        <v>167</v>
      </c>
      <c r="B168" s="67" t="inlineStr">
        <is>
          <t>william-blair</t>
        </is>
      </c>
      <c r="C168" s="67" t="inlineStr">
        <is>
          <t>Investment Banking Summer 2027 Analyst</t>
        </is>
      </c>
      <c r="D168" s="67" t="inlineStr">
        <is>
          <t>Middle Market</t>
        </is>
      </c>
      <c r="E168" s="67" t="n"/>
      <c r="F168" s="66" t="inlineStr">
        <is>
          <t>N/A</t>
        </is>
      </c>
      <c r="G168" s="66" t="inlineStr">
        <is>
          <t>2026-10-02T00:00:00.000Z</t>
        </is>
      </c>
      <c r="H168" s="68" t="inlineStr">
        <is>
          <t>지원 링크 ↗</t>
        </is>
      </c>
    </row>
    <row r="169">
      <c r="A169" s="66" t="n">
        <v>168</v>
      </c>
      <c r="B169" s="67" t="inlineStr">
        <is>
          <t>everest</t>
        </is>
      </c>
      <c r="C169" s="67" t="inlineStr">
        <is>
          <t>2027 Underwriting Internship Programme Scheme</t>
        </is>
      </c>
      <c r="D169" s="67" t="inlineStr">
        <is>
          <t>Pensions and Insurance</t>
        </is>
      </c>
      <c r="E169" s="67" t="n"/>
      <c r="F169" s="66" t="inlineStr">
        <is>
          <t>N/A</t>
        </is>
      </c>
      <c r="G169" s="66" t="inlineStr">
        <is>
          <t>Rolling / Unspecified</t>
        </is>
      </c>
      <c r="H169" s="66" t="inlineStr">
        <is>
          <t>미제공 (포털직접)</t>
        </is>
      </c>
    </row>
    <row r="170">
      <c r="A170" s="66" t="n">
        <v>169</v>
      </c>
      <c r="B170" s="67" t="inlineStr">
        <is>
          <t>climate-investment</t>
        </is>
      </c>
      <c r="C170" s="67" t="inlineStr">
        <is>
          <t>2027 Summer Intern</t>
        </is>
      </c>
      <c r="D170" s="67" t="inlineStr">
        <is>
          <t>Buy-Side</t>
        </is>
      </c>
      <c r="E170" s="67" t="n"/>
      <c r="F170" s="66" t="inlineStr">
        <is>
          <t>N/A</t>
        </is>
      </c>
      <c r="G170" s="66" t="inlineStr">
        <is>
          <t>Rolling / Unspecified</t>
        </is>
      </c>
      <c r="H170" s="66" t="inlineStr">
        <is>
          <t>미제공 (포털직접)</t>
        </is>
      </c>
    </row>
    <row r="171">
      <c r="A171" s="66" t="n">
        <v>170</v>
      </c>
      <c r="B171" s="67" t="inlineStr">
        <is>
          <t>just</t>
        </is>
      </c>
      <c r="C171" s="67" t="inlineStr">
        <is>
          <t>Actuarial Summer Intern (July 2027)</t>
        </is>
      </c>
      <c r="D171" s="67" t="inlineStr">
        <is>
          <t>Pensions and Insurance</t>
        </is>
      </c>
      <c r="E171" s="67" t="n"/>
      <c r="F171" s="66" t="inlineStr">
        <is>
          <t>N/A</t>
        </is>
      </c>
      <c r="G171" s="66" t="inlineStr">
        <is>
          <t>Rolling / Unspecified</t>
        </is>
      </c>
      <c r="H171" s="66" t="inlineStr">
        <is>
          <t>미제공 (포털직접)</t>
        </is>
      </c>
    </row>
    <row r="172">
      <c r="A172" s="66" t="n">
        <v>171</v>
      </c>
      <c r="B172" s="67" t="inlineStr">
        <is>
          <t>equitix</t>
        </is>
      </c>
      <c r="C172" s="67" t="inlineStr">
        <is>
          <t>Internship 2027</t>
        </is>
      </c>
      <c r="D172" s="67" t="inlineStr">
        <is>
          <t>Buy-Side</t>
        </is>
      </c>
      <c r="E172" s="67" t="n"/>
      <c r="F172" s="66" t="inlineStr">
        <is>
          <t>N/A</t>
        </is>
      </c>
      <c r="G172" s="66" t="inlineStr">
        <is>
          <t>Rolling / Unspecified</t>
        </is>
      </c>
      <c r="H172" s="66" t="inlineStr">
        <is>
          <t>미제공 (포털직접)</t>
        </is>
      </c>
    </row>
    <row r="173">
      <c r="A173" s="66" t="n">
        <v>172</v>
      </c>
      <c r="B173" s="67" t="inlineStr">
        <is>
          <t>visa</t>
        </is>
      </c>
      <c r="C173" s="67" t="inlineStr">
        <is>
          <t>Consulting &amp; Analytics Intern</t>
        </is>
      </c>
      <c r="D173" s="67" t="inlineStr">
        <is>
          <t>Miscellaneous</t>
        </is>
      </c>
      <c r="E173" s="67" t="n"/>
      <c r="F173" s="66" t="inlineStr">
        <is>
          <t>N/A</t>
        </is>
      </c>
      <c r="G173" s="66" t="inlineStr">
        <is>
          <t>Rolling / Unspecified</t>
        </is>
      </c>
      <c r="H173" s="66" t="inlineStr">
        <is>
          <t>미제공 (포털직접)</t>
        </is>
      </c>
    </row>
    <row r="174">
      <c r="A174" s="66" t="n">
        <v>173</v>
      </c>
      <c r="B174" s="67" t="inlineStr">
        <is>
          <t>sixth-street</t>
        </is>
      </c>
      <c r="C174" s="67" t="inlineStr">
        <is>
          <t>2027 Summer Internship Program - UK Investing</t>
        </is>
      </c>
      <c r="D174" s="67" t="inlineStr">
        <is>
          <t>Asset Management</t>
        </is>
      </c>
      <c r="E174" s="67" t="n"/>
      <c r="F174" s="66" t="inlineStr">
        <is>
          <t>N/A</t>
        </is>
      </c>
      <c r="G174" s="66" t="inlineStr">
        <is>
          <t>Rolling / Unspecified</t>
        </is>
      </c>
      <c r="H174" s="66" t="inlineStr">
        <is>
          <t>미제공 (포털직접)</t>
        </is>
      </c>
    </row>
    <row r="175">
      <c r="A175" s="66" t="n">
        <v>174</v>
      </c>
      <c r="B175" s="67" t="inlineStr">
        <is>
          <t>da-vinci-trading</t>
        </is>
      </c>
      <c r="C175" s="67" t="inlineStr">
        <is>
          <t>2027 Quant Trading Intern</t>
        </is>
      </c>
      <c r="D175" s="67" t="inlineStr">
        <is>
          <t>Trading and Quant</t>
        </is>
      </c>
      <c r="E175" s="67" t="n"/>
      <c r="F175" s="66" t="inlineStr">
        <is>
          <t>N/A</t>
        </is>
      </c>
      <c r="G175" s="66" t="inlineStr">
        <is>
          <t>Rolling / Unspecified</t>
        </is>
      </c>
      <c r="H175" s="68" t="inlineStr">
        <is>
          <t>지원 링크 ↗</t>
        </is>
      </c>
    </row>
    <row r="176">
      <c r="A176" s="66" t="n">
        <v>175</v>
      </c>
      <c r="B176" s="67" t="inlineStr">
        <is>
          <t>lincoln-international</t>
        </is>
      </c>
      <c r="C176" s="67" t="inlineStr">
        <is>
          <t>UK Summer Internship Programme 2027</t>
        </is>
      </c>
      <c r="D176" s="67" t="inlineStr">
        <is>
          <t>Middle Market</t>
        </is>
      </c>
      <c r="E176" s="67" t="n"/>
      <c r="F176" s="66" t="inlineStr">
        <is>
          <t>N/A</t>
        </is>
      </c>
      <c r="G176" s="66" t="inlineStr">
        <is>
          <t>2026-10-09T00:00:00.000Z</t>
        </is>
      </c>
      <c r="H176" s="68" t="inlineStr">
        <is>
          <t>지원 링크 ↗</t>
        </is>
      </c>
    </row>
    <row r="177">
      <c r="A177" s="66" t="n">
        <v>176</v>
      </c>
      <c r="B177" s="67" t="inlineStr">
        <is>
          <t>morgan-stanley</t>
        </is>
      </c>
      <c r="C177" s="67" t="inlineStr">
        <is>
          <t>2027 Global Capital Markets Summer Analyst Programme</t>
        </is>
      </c>
      <c r="D177" s="67" t="inlineStr">
        <is>
          <t>Bulge Bracket</t>
        </is>
      </c>
      <c r="E177" s="67" t="n"/>
      <c r="F177" s="66" t="inlineStr">
        <is>
          <t>N/A</t>
        </is>
      </c>
      <c r="G177" s="66" t="inlineStr">
        <is>
          <t>Rolling / Unspecified</t>
        </is>
      </c>
      <c r="H177" s="68" t="inlineStr">
        <is>
          <t>지원 링크 ↗</t>
        </is>
      </c>
    </row>
    <row r="178">
      <c r="A178" s="66" t="n">
        <v>177</v>
      </c>
      <c r="B178" s="67" t="inlineStr">
        <is>
          <t>atlas-holdings</t>
        </is>
      </c>
      <c r="C178" s="67" t="inlineStr">
        <is>
          <t>Private Equity Summer Internship 2027</t>
        </is>
      </c>
      <c r="D178" s="67" t="inlineStr">
        <is>
          <t>Buy-Side</t>
        </is>
      </c>
      <c r="E178" s="67" t="n"/>
      <c r="F178" s="66" t="inlineStr">
        <is>
          <t>N/A</t>
        </is>
      </c>
      <c r="G178" s="66" t="inlineStr">
        <is>
          <t>2026-09-14T00:00:00.000Z</t>
        </is>
      </c>
      <c r="H178" s="68" t="inlineStr">
        <is>
          <t>지원 링크 ↗</t>
        </is>
      </c>
    </row>
    <row r="179">
      <c r="A179" s="66" t="n">
        <v>178</v>
      </c>
      <c r="B179" s="67" t="inlineStr">
        <is>
          <t>cabot-properties</t>
        </is>
      </c>
      <c r="C179" s="67" t="inlineStr">
        <is>
          <t>Investment Intern</t>
        </is>
      </c>
      <c r="D179" s="67" t="inlineStr">
        <is>
          <t>Asset Management</t>
        </is>
      </c>
      <c r="E179" s="67" t="n"/>
      <c r="F179" s="66" t="inlineStr">
        <is>
          <t>N/A</t>
        </is>
      </c>
      <c r="G179" s="66" t="inlineStr">
        <is>
          <t>Rolling / Unspecified</t>
        </is>
      </c>
      <c r="H179" s="66" t="inlineStr">
        <is>
          <t>미제공 (포털직접)</t>
        </is>
      </c>
    </row>
    <row r="180">
      <c r="A180" s="66" t="n">
        <v>179</v>
      </c>
      <c r="B180" s="67" t="inlineStr">
        <is>
          <t>barnett-waddingham</t>
        </is>
      </c>
      <c r="C180" s="67" t="inlineStr">
        <is>
          <t>Summer Student - 2027 intake</t>
        </is>
      </c>
      <c r="D180" s="67" t="inlineStr">
        <is>
          <t>Pensions and Insurance</t>
        </is>
      </c>
      <c r="E180" s="67" t="n"/>
      <c r="F180" s="66" t="inlineStr">
        <is>
          <t>N/A</t>
        </is>
      </c>
      <c r="G180" s="66" t="inlineStr">
        <is>
          <t>Rolling / Unspecified</t>
        </is>
      </c>
      <c r="H180" s="66" t="inlineStr">
        <is>
          <t>미제공 (포털직접)</t>
        </is>
      </c>
    </row>
    <row r="181">
      <c r="A181" s="66" t="n">
        <v>180</v>
      </c>
      <c r="B181" s="67" t="inlineStr">
        <is>
          <t>jump-trading</t>
        </is>
      </c>
      <c r="C181" s="67" t="inlineStr">
        <is>
          <t>Campus Quantitative Trader (Intern)</t>
        </is>
      </c>
      <c r="D181" s="67" t="inlineStr">
        <is>
          <t>Trading and Quant</t>
        </is>
      </c>
      <c r="E181" s="67" t="n"/>
      <c r="F181" s="66" t="inlineStr">
        <is>
          <t>N/A</t>
        </is>
      </c>
      <c r="G181" s="66" t="inlineStr">
        <is>
          <t>Rolling / Unspecified</t>
        </is>
      </c>
      <c r="H181" s="68" t="inlineStr">
        <is>
          <t>지원 링크 ↗</t>
        </is>
      </c>
    </row>
    <row r="182">
      <c r="A182" s="66" t="n">
        <v>181</v>
      </c>
      <c r="B182" s="67" t="inlineStr">
        <is>
          <t>7im</t>
        </is>
      </c>
      <c r="C182" s="67" t="inlineStr">
        <is>
          <t>Work Experience 2027</t>
        </is>
      </c>
      <c r="D182" s="67" t="inlineStr">
        <is>
          <t>Asset Management</t>
        </is>
      </c>
      <c r="E182" s="67" t="n"/>
      <c r="F182" s="66" t="inlineStr">
        <is>
          <t>N/A</t>
        </is>
      </c>
      <c r="G182" s="66" t="inlineStr">
        <is>
          <t>Rolling / Unspecified</t>
        </is>
      </c>
      <c r="H182" s="66" t="inlineStr">
        <is>
          <t>미제공 (포털직접)</t>
        </is>
      </c>
    </row>
    <row r="183">
      <c r="A183" s="66" t="n">
        <v>182</v>
      </c>
      <c r="B183" s="67" t="inlineStr">
        <is>
          <t>gsa-capital</t>
        </is>
      </c>
      <c r="C183" s="67" t="inlineStr">
        <is>
          <t>Women in Trading Insight Programme - 2027</t>
        </is>
      </c>
      <c r="D183" s="67" t="inlineStr">
        <is>
          <t>Trading and Quant</t>
        </is>
      </c>
      <c r="E183" s="67" t="n"/>
      <c r="F183" s="66" t="inlineStr">
        <is>
          <t>N/A</t>
        </is>
      </c>
      <c r="G183" s="66" t="inlineStr">
        <is>
          <t>Rolling / Unspecified</t>
        </is>
      </c>
      <c r="H183" s="68" t="inlineStr">
        <is>
          <t>지원 링크 ↗</t>
        </is>
      </c>
    </row>
    <row r="184">
      <c r="A184" s="66" t="n">
        <v>183</v>
      </c>
      <c r="B184" s="67" t="inlineStr">
        <is>
          <t>allia-c-c</t>
        </is>
      </c>
      <c r="C184" s="67" t="inlineStr">
        <is>
          <t>Advisory and Funding Team Internship</t>
        </is>
      </c>
      <c r="D184" s="67" t="inlineStr">
        <is>
          <t>Middle Market</t>
        </is>
      </c>
      <c r="E184" s="67" t="n"/>
      <c r="F184" s="66" t="inlineStr">
        <is>
          <t>N/A</t>
        </is>
      </c>
      <c r="G184" s="66" t="inlineStr">
        <is>
          <t>Rolling / Unspecified</t>
        </is>
      </c>
      <c r="H184" s="66" t="inlineStr">
        <is>
          <t>미제공 (포털직접)</t>
        </is>
      </c>
    </row>
    <row r="185">
      <c r="A185" s="66" t="n">
        <v>184</v>
      </c>
      <c r="B185" s="67" t="inlineStr">
        <is>
          <t>alvarez-marsal</t>
        </is>
      </c>
      <c r="C185" s="67" t="inlineStr">
        <is>
          <t>Summer Intern, Corporate Finance</t>
        </is>
      </c>
      <c r="D185" s="67" t="inlineStr">
        <is>
          <t>Consulting</t>
        </is>
      </c>
      <c r="E185" s="67" t="n"/>
      <c r="F185" s="66" t="inlineStr">
        <is>
          <t>N/A</t>
        </is>
      </c>
      <c r="G185" s="66" t="inlineStr">
        <is>
          <t>Rolling / Unspecified</t>
        </is>
      </c>
      <c r="H185" s="66" t="inlineStr">
        <is>
          <t>미제공 (포털직접)</t>
        </is>
      </c>
    </row>
    <row r="186">
      <c r="A186" s="66" t="n">
        <v>185</v>
      </c>
      <c r="B186" s="67" t="inlineStr">
        <is>
          <t>westgrove</t>
        </is>
      </c>
      <c r="C186" s="67" t="inlineStr">
        <is>
          <t>Summer Analyst</t>
        </is>
      </c>
      <c r="D186" s="67" t="inlineStr">
        <is>
          <t>Buy-Side</t>
        </is>
      </c>
      <c r="E186" s="67" t="n"/>
      <c r="F186" s="66" t="inlineStr">
        <is>
          <t>N/A</t>
        </is>
      </c>
      <c r="G186" s="66" t="inlineStr">
        <is>
          <t>Rolling / Unspecified</t>
        </is>
      </c>
      <c r="H186" s="66" t="inlineStr">
        <is>
          <t>미제공 (포털직접)</t>
        </is>
      </c>
    </row>
    <row r="187">
      <c r="A187" s="66" t="n">
        <v>186</v>
      </c>
      <c r="B187" s="67" t="inlineStr">
        <is>
          <t>houlihan-lokey</t>
        </is>
      </c>
      <c r="C187" s="67" t="inlineStr">
        <is>
          <t>2027 Summer Financial Analyst - Corporate Finance (M&amp;A)</t>
        </is>
      </c>
      <c r="D187" s="67" t="inlineStr">
        <is>
          <t>Middle Market</t>
        </is>
      </c>
      <c r="E187" s="67" t="n"/>
      <c r="F187" s="66" t="inlineStr">
        <is>
          <t>N/A</t>
        </is>
      </c>
      <c r="G187" s="66" t="inlineStr">
        <is>
          <t>2026-10-17T00:00:00.000Z</t>
        </is>
      </c>
      <c r="H187" s="68" t="inlineStr">
        <is>
          <t>지원 링크 ↗</t>
        </is>
      </c>
    </row>
    <row r="188">
      <c r="A188" s="66" t="n">
        <v>187</v>
      </c>
      <c r="B188" s="67" t="inlineStr">
        <is>
          <t>bbva</t>
        </is>
      </c>
      <c r="C188" s="67" t="inlineStr">
        <is>
          <t>Summer Internship C&amp;IB</t>
        </is>
      </c>
      <c r="D188" s="67" t="inlineStr">
        <is>
          <t>Middle Market</t>
        </is>
      </c>
      <c r="E188" s="67" t="n"/>
      <c r="F188" s="66" t="inlineStr">
        <is>
          <t>N/A</t>
        </is>
      </c>
      <c r="G188" s="66" t="inlineStr">
        <is>
          <t>Rolling / Unspecified</t>
        </is>
      </c>
      <c r="H188" s="66" t="inlineStr">
        <is>
          <t>미제공 (포털직접)</t>
        </is>
      </c>
    </row>
    <row r="189">
      <c r="A189" s="66" t="n">
        <v>188</v>
      </c>
      <c r="B189" s="67" t="inlineStr">
        <is>
          <t>howden</t>
        </is>
      </c>
      <c r="C189" s="67" t="inlineStr">
        <is>
          <t>Summer Internship 2027</t>
        </is>
      </c>
      <c r="D189" s="67" t="inlineStr">
        <is>
          <t>Pensions and Insurance</t>
        </is>
      </c>
      <c r="E189" s="67" t="n"/>
      <c r="F189" s="66" t="inlineStr">
        <is>
          <t>N/A</t>
        </is>
      </c>
      <c r="G189" s="66" t="inlineStr">
        <is>
          <t>2026-10-13T00:00:00.000Z</t>
        </is>
      </c>
      <c r="H189" s="68" t="inlineStr">
        <is>
          <t>지원 링크 ↗</t>
        </is>
      </c>
    </row>
    <row r="190">
      <c r="A190" s="66" t="n">
        <v>189</v>
      </c>
      <c r="B190" s="67" t="inlineStr">
        <is>
          <t>franklin-templeton</t>
        </is>
      </c>
      <c r="C190" s="67" t="inlineStr">
        <is>
          <t>Summer Intern - Investment Management</t>
        </is>
      </c>
      <c r="D190" s="67" t="inlineStr">
        <is>
          <t>Asset Management</t>
        </is>
      </c>
      <c r="E190" s="67" t="n"/>
      <c r="F190" s="66" t="inlineStr">
        <is>
          <t>N/A</t>
        </is>
      </c>
      <c r="G190" s="66" t="inlineStr">
        <is>
          <t>2026-08-24T00:00:00.000Z</t>
        </is>
      </c>
      <c r="H190" s="68" t="inlineStr">
        <is>
          <t>지원 링크 ↗</t>
        </is>
      </c>
    </row>
    <row r="191">
      <c r="A191" s="66" t="n">
        <v>190</v>
      </c>
      <c r="B191" s="67" t="inlineStr">
        <is>
          <t>-inverto</t>
        </is>
      </c>
      <c r="C191" s="67" t="inlineStr">
        <is>
          <t>Summer Internship: Procurement &amp; Supply Chain Consulting</t>
        </is>
      </c>
      <c r="D191" s="67" t="inlineStr">
        <is>
          <t>Consulting</t>
        </is>
      </c>
      <c r="E191" s="67" t="n"/>
      <c r="F191" s="66" t="inlineStr">
        <is>
          <t>N/A</t>
        </is>
      </c>
      <c r="G191" s="66" t="inlineStr">
        <is>
          <t>Rolling / Unspecified</t>
        </is>
      </c>
      <c r="H191" s="68" t="inlineStr">
        <is>
          <t>지원 링크 ↗</t>
        </is>
      </c>
    </row>
    <row r="192">
      <c r="A192" s="66" t="n">
        <v>191</v>
      </c>
      <c r="B192" s="67" t="inlineStr">
        <is>
          <t>ankura</t>
        </is>
      </c>
      <c r="C192" s="67" t="inlineStr">
        <is>
          <t>Summer Internship 2027 Turnaround &amp; Restructuring</t>
        </is>
      </c>
      <c r="D192" s="67" t="inlineStr">
        <is>
          <t>Consulting</t>
        </is>
      </c>
      <c r="E192" s="67" t="n"/>
      <c r="F192" s="66" t="inlineStr">
        <is>
          <t>N/A</t>
        </is>
      </c>
      <c r="G192" s="66" t="inlineStr">
        <is>
          <t>Rolling / Unspecified</t>
        </is>
      </c>
      <c r="H192" s="66" t="inlineStr">
        <is>
          <t>미제공 (포털직접)</t>
        </is>
      </c>
    </row>
    <row r="193">
      <c r="A193" s="66" t="n">
        <v>192</v>
      </c>
      <c r="B193" s="67" t="inlineStr">
        <is>
          <t>l-oreal</t>
        </is>
      </c>
      <c r="C193" s="67" t="inlineStr">
        <is>
          <t>Finance Summer Internship 2027</t>
        </is>
      </c>
      <c r="D193" s="67" t="inlineStr">
        <is>
          <t>Miscellaneous</t>
        </is>
      </c>
      <c r="E193" s="67" t="n"/>
      <c r="F193" s="66" t="inlineStr">
        <is>
          <t>N/A</t>
        </is>
      </c>
      <c r="G193" s="66" t="inlineStr">
        <is>
          <t>Rolling / Unspecified</t>
        </is>
      </c>
      <c r="H193" s="66" t="inlineStr">
        <is>
          <t>미제공 (포털직접)</t>
        </is>
      </c>
    </row>
    <row r="194">
      <c r="A194" s="66" t="n">
        <v>193</v>
      </c>
      <c r="B194" s="67" t="inlineStr">
        <is>
          <t>td-securities</t>
        </is>
      </c>
      <c r="C194" s="67" t="inlineStr">
        <is>
          <t>2027 Summer Internship Programme</t>
        </is>
      </c>
      <c r="D194" s="67" t="inlineStr">
        <is>
          <t>Middle Market</t>
        </is>
      </c>
      <c r="E194" s="67" t="n"/>
      <c r="F194" s="66" t="inlineStr">
        <is>
          <t>N/A</t>
        </is>
      </c>
      <c r="G194" s="66" t="inlineStr">
        <is>
          <t>Rolling / Unspecified</t>
        </is>
      </c>
      <c r="H194" s="66" t="inlineStr">
        <is>
          <t>미제공 (포털직접)</t>
        </is>
      </c>
    </row>
    <row r="195">
      <c r="A195" s="66" t="n">
        <v>194</v>
      </c>
      <c r="B195" s="67" t="inlineStr">
        <is>
          <t>flowdesk</t>
        </is>
      </c>
      <c r="C195" s="67" t="inlineStr">
        <is>
          <t>Sales Intern EMEA (F/M/D)</t>
        </is>
      </c>
      <c r="D195" s="67" t="inlineStr">
        <is>
          <t>Middle Market</t>
        </is>
      </c>
      <c r="E195" s="67" t="n"/>
      <c r="F195" s="66" t="inlineStr">
        <is>
          <t>N/A</t>
        </is>
      </c>
      <c r="G195" s="66" t="inlineStr">
        <is>
          <t>Rolling / Unspecified</t>
        </is>
      </c>
      <c r="H195" s="66" t="inlineStr">
        <is>
          <t>미제공 (포털직접)</t>
        </is>
      </c>
    </row>
    <row r="196">
      <c r="A196" s="66" t="n">
        <v>195</v>
      </c>
      <c r="B196" s="67" t="inlineStr">
        <is>
          <t>grosvenor</t>
        </is>
      </c>
      <c r="C196" s="67" t="inlineStr">
        <is>
          <t>Graduate Internship Programme</t>
        </is>
      </c>
      <c r="D196" s="67" t="inlineStr">
        <is>
          <t>Real Estate</t>
        </is>
      </c>
      <c r="E196" s="67" t="n"/>
      <c r="F196" s="66" t="inlineStr">
        <is>
          <t>N/A</t>
        </is>
      </c>
      <c r="G196" s="66" t="inlineStr">
        <is>
          <t>Rolling / Unspecified</t>
        </is>
      </c>
      <c r="H196" s="66" t="inlineStr">
        <is>
          <t>미제공 (포털직접)</t>
        </is>
      </c>
    </row>
    <row r="197">
      <c r="A197" s="66" t="n">
        <v>196</v>
      </c>
      <c r="B197" s="67" t="inlineStr">
        <is>
          <t>blockchain-com</t>
        </is>
      </c>
      <c r="C197" s="67" t="inlineStr">
        <is>
          <t>Finance Summer Intern</t>
        </is>
      </c>
      <c r="D197" s="67" t="inlineStr">
        <is>
          <t>Miscellaneous</t>
        </is>
      </c>
      <c r="E197" s="67" t="n"/>
      <c r="F197" s="66" t="inlineStr">
        <is>
          <t>N/A</t>
        </is>
      </c>
      <c r="G197" s="66" t="inlineStr">
        <is>
          <t>Rolling / Unspecified</t>
        </is>
      </c>
      <c r="H197" s="66" t="inlineStr">
        <is>
          <t>미제공 (포털직접)</t>
        </is>
      </c>
    </row>
    <row r="198">
      <c r="A198" s="66" t="n">
        <v>197</v>
      </c>
      <c r="B198" s="67" t="inlineStr">
        <is>
          <t>ebrd</t>
        </is>
      </c>
      <c r="C198" s="67" t="inlineStr">
        <is>
          <t>Summer Intern, Economics</t>
        </is>
      </c>
      <c r="D198" s="67" t="inlineStr">
        <is>
          <t>Miscellaneous</t>
        </is>
      </c>
      <c r="E198" s="67" t="n"/>
      <c r="F198" s="66" t="inlineStr">
        <is>
          <t>N/A</t>
        </is>
      </c>
      <c r="G198" s="66" t="inlineStr">
        <is>
          <t>Rolling / Unspecified</t>
        </is>
      </c>
      <c r="H198" s="66" t="inlineStr">
        <is>
          <t>미제공 (포털직접)</t>
        </is>
      </c>
    </row>
    <row r="199">
      <c r="A199" s="66" t="n">
        <v>198</v>
      </c>
      <c r="B199" s="67" t="inlineStr">
        <is>
          <t>drw</t>
        </is>
      </c>
      <c r="C199" s="67" t="inlineStr">
        <is>
          <t>Quantitative Trading Analyst Intern</t>
        </is>
      </c>
      <c r="D199" s="67" t="inlineStr">
        <is>
          <t>Trading and Quant</t>
        </is>
      </c>
      <c r="E199" s="67" t="n"/>
      <c r="F199" s="66" t="inlineStr">
        <is>
          <t>N/A</t>
        </is>
      </c>
      <c r="G199" s="66" t="inlineStr">
        <is>
          <t>Rolling / Unspecified</t>
        </is>
      </c>
      <c r="H199" s="68" t="inlineStr">
        <is>
          <t>지원 링크 ↗</t>
        </is>
      </c>
    </row>
    <row r="200">
      <c r="A200" s="66" t="n">
        <v>199</v>
      </c>
      <c r="B200" s="67" t="inlineStr">
        <is>
          <t>oc-c</t>
        </is>
      </c>
      <c r="C200" s="67" t="inlineStr">
        <is>
          <t>Associate Consultant Summer Internship 2027</t>
        </is>
      </c>
      <c r="D200" s="67" t="inlineStr">
        <is>
          <t>Consulting</t>
        </is>
      </c>
      <c r="E200" s="67" t="n"/>
      <c r="F200" s="66" t="inlineStr">
        <is>
          <t>N/A</t>
        </is>
      </c>
      <c r="G200" s="66" t="inlineStr">
        <is>
          <t>Rolling / Unspecified</t>
        </is>
      </c>
      <c r="H200" s="66" t="inlineStr">
        <is>
          <t>미제공 (포털직접)</t>
        </is>
      </c>
    </row>
    <row r="201">
      <c r="A201" s="66" t="n">
        <v>200</v>
      </c>
      <c r="B201" s="67" t="inlineStr">
        <is>
          <t>carter-jonas</t>
        </is>
      </c>
      <c r="C201" s="67" t="inlineStr">
        <is>
          <t>2027 Summer Internship</t>
        </is>
      </c>
      <c r="D201" s="67" t="inlineStr">
        <is>
          <t>Real Estate</t>
        </is>
      </c>
      <c r="E201" s="67" t="n"/>
      <c r="F201" s="66" t="inlineStr">
        <is>
          <t>N/A</t>
        </is>
      </c>
      <c r="G201" s="66" t="inlineStr">
        <is>
          <t>Rolling / Unspecified</t>
        </is>
      </c>
      <c r="H201" s="66" t="inlineStr">
        <is>
          <t>미제공 (포털직접)</t>
        </is>
      </c>
    </row>
    <row r="202">
      <c r="A202" s="66" t="n">
        <v>201</v>
      </c>
      <c r="B202" s="67" t="inlineStr">
        <is>
          <t>gic</t>
        </is>
      </c>
      <c r="C202" s="67" t="inlineStr">
        <is>
          <t>GIC Internship Programme 2027</t>
        </is>
      </c>
      <c r="D202" s="67" t="inlineStr">
        <is>
          <t>Buy-Side</t>
        </is>
      </c>
      <c r="E202" s="67" t="n"/>
      <c r="F202" s="66" t="inlineStr">
        <is>
          <t>N/A</t>
        </is>
      </c>
      <c r="G202" s="66" t="inlineStr">
        <is>
          <t>Rolling / Unspecified</t>
        </is>
      </c>
      <c r="H202" s="68" t="inlineStr">
        <is>
          <t>지원 링크 ↗</t>
        </is>
      </c>
    </row>
    <row r="203">
      <c r="A203" s="66" t="n">
        <v>202</v>
      </c>
      <c r="B203" s="67" t="inlineStr">
        <is>
          <t>aab-group</t>
        </is>
      </c>
      <c r="C203" s="67" t="inlineStr">
        <is>
          <t>2027 Internship Opportunities</t>
        </is>
      </c>
      <c r="D203" s="67" t="inlineStr">
        <is>
          <t>Pensions and Insurance</t>
        </is>
      </c>
      <c r="E203" s="67" t="n"/>
      <c r="F203" s="66" t="inlineStr">
        <is>
          <t>N/A</t>
        </is>
      </c>
      <c r="G203" s="66" t="inlineStr">
        <is>
          <t>Rolling / Unspecified</t>
        </is>
      </c>
      <c r="H203" s="66" t="inlineStr">
        <is>
          <t>미제공 (포털직접)</t>
        </is>
      </c>
    </row>
    <row r="204">
      <c r="A204" s="66" t="n">
        <v>203</v>
      </c>
      <c r="B204" s="67" t="inlineStr">
        <is>
          <t>revolut</t>
        </is>
      </c>
      <c r="C204" s="67" t="inlineStr">
        <is>
          <t>Internship Programme 2027</t>
        </is>
      </c>
      <c r="D204" s="67" t="inlineStr">
        <is>
          <t>Miscellaneous</t>
        </is>
      </c>
      <c r="E204" s="67" t="n"/>
      <c r="F204" s="66" t="inlineStr">
        <is>
          <t>N/A</t>
        </is>
      </c>
      <c r="G204" s="66" t="inlineStr">
        <is>
          <t>Rolling / Unspecified</t>
        </is>
      </c>
      <c r="H204" s="68" t="inlineStr">
        <is>
          <t>지원 링크 ↗</t>
        </is>
      </c>
    </row>
    <row r="205">
      <c r="A205" s="66" t="n">
        <v>204</v>
      </c>
      <c r="B205" s="67" t="inlineStr">
        <is>
          <t>cfc</t>
        </is>
      </c>
      <c r="C205" s="67" t="inlineStr">
        <is>
          <t>Insurance Internship - Summer 2027</t>
        </is>
      </c>
      <c r="D205" s="67" t="inlineStr">
        <is>
          <t>Pensions and Insurance</t>
        </is>
      </c>
      <c r="E205" s="67" t="n"/>
      <c r="F205" s="66" t="inlineStr">
        <is>
          <t>N/A</t>
        </is>
      </c>
      <c r="G205" s="66" t="inlineStr">
        <is>
          <t>Rolling / Unspecified</t>
        </is>
      </c>
      <c r="H205" s="66" t="inlineStr">
        <is>
          <t>미제공 (포털직접)</t>
        </is>
      </c>
    </row>
    <row r="206">
      <c r="A206" s="66" t="n">
        <v>205</v>
      </c>
      <c r="B206" s="67" t="inlineStr">
        <is>
          <t>teza-technologies</t>
        </is>
      </c>
      <c r="C206" s="67" t="inlineStr">
        <is>
          <t>2027 Quantitative Research Internship</t>
        </is>
      </c>
      <c r="D206" s="67" t="inlineStr">
        <is>
          <t>Trading and Quant</t>
        </is>
      </c>
      <c r="E206" s="67" t="n"/>
      <c r="F206" s="66" t="inlineStr">
        <is>
          <t>N/A</t>
        </is>
      </c>
      <c r="G206" s="66" t="inlineStr">
        <is>
          <t>Rolling / Unspecified</t>
        </is>
      </c>
      <c r="H206" s="66" t="inlineStr">
        <is>
          <t>미제공 (포털직접)</t>
        </is>
      </c>
    </row>
    <row r="207">
      <c r="A207" s="66" t="n">
        <v>206</v>
      </c>
      <c r="B207" s="67" t="inlineStr">
        <is>
          <t>quantuma</t>
        </is>
      </c>
      <c r="C207" s="67" t="inlineStr">
        <is>
          <t>Corporate Finance Analyst (Intern)</t>
        </is>
      </c>
      <c r="D207" s="67" t="inlineStr">
        <is>
          <t>Middle Market</t>
        </is>
      </c>
      <c r="E207" s="67" t="n"/>
      <c r="F207" s="66" t="inlineStr">
        <is>
          <t>N/A</t>
        </is>
      </c>
      <c r="G207" s="66" t="inlineStr">
        <is>
          <t>Rolling / Unspecified</t>
        </is>
      </c>
      <c r="H207" s="66" t="inlineStr">
        <is>
          <t>미제공 (포털직접)</t>
        </is>
      </c>
    </row>
    <row r="208">
      <c r="A208" s="66" t="n">
        <v>207</v>
      </c>
      <c r="B208" s="67" t="inlineStr">
        <is>
          <t>marketaxess</t>
        </is>
      </c>
      <c r="C208" s="67" t="inlineStr">
        <is>
          <t>Quant Research Intern 2027</t>
        </is>
      </c>
      <c r="D208" s="67" t="inlineStr">
        <is>
          <t>Trading and Quant</t>
        </is>
      </c>
      <c r="E208" s="67" t="n"/>
      <c r="F208" s="66" t="inlineStr">
        <is>
          <t>N/A</t>
        </is>
      </c>
      <c r="G208" s="66" t="inlineStr">
        <is>
          <t>Rolling / Unspecified</t>
        </is>
      </c>
      <c r="H208" s="66" t="inlineStr">
        <is>
          <t>미제공 (포털직접)</t>
        </is>
      </c>
    </row>
    <row r="209">
      <c r="A209" s="66" t="n">
        <v>208</v>
      </c>
      <c r="B209" s="67" t="inlineStr">
        <is>
          <t>first-wealth</t>
        </is>
      </c>
      <c r="C209" s="67" t="inlineStr">
        <is>
          <t>Summer Internship 2027</t>
        </is>
      </c>
      <c r="D209" s="67" t="inlineStr">
        <is>
          <t>Asset Management</t>
        </is>
      </c>
      <c r="E209" s="67" t="n"/>
      <c r="F209" s="66" t="inlineStr">
        <is>
          <t>N/A</t>
        </is>
      </c>
      <c r="G209" s="66" t="inlineStr">
        <is>
          <t>Rolling / Unspecified</t>
        </is>
      </c>
      <c r="H209" s="66" t="inlineStr">
        <is>
          <t>미제공 (포털직접)</t>
        </is>
      </c>
    </row>
    <row r="210">
      <c r="A210" s="66" t="n">
        <v>209</v>
      </c>
      <c r="B210" s="67" t="inlineStr">
        <is>
          <t>stonex</t>
        </is>
      </c>
      <c r="C210" s="67" t="inlineStr">
        <is>
          <t>Intern – Trading &amp; Sales (Metals)</t>
        </is>
      </c>
      <c r="D210" s="67" t="inlineStr">
        <is>
          <t>Trading and Quant</t>
        </is>
      </c>
      <c r="E210" s="67" t="n"/>
      <c r="F210" s="66" t="inlineStr">
        <is>
          <t>N/A</t>
        </is>
      </c>
      <c r="G210" s="66" t="inlineStr">
        <is>
          <t>Rolling / Unspecified</t>
        </is>
      </c>
      <c r="H210" s="66" t="inlineStr">
        <is>
          <t>미제공 (포털직접)</t>
        </is>
      </c>
    </row>
    <row r="211">
      <c r="A211" s="66" t="n">
        <v>210</v>
      </c>
      <c r="B211" s="67" t="inlineStr">
        <is>
          <t>wincent</t>
        </is>
      </c>
      <c r="C211" s="67" t="inlineStr">
        <is>
          <t>Quant Research/Trading Internship - Summer 2027</t>
        </is>
      </c>
      <c r="D211" s="67" t="inlineStr">
        <is>
          <t>Promoted, Trading and Quant</t>
        </is>
      </c>
      <c r="E211" s="67" t="n"/>
      <c r="F211" s="66" t="inlineStr">
        <is>
          <t>N/A</t>
        </is>
      </c>
      <c r="G211" s="66" t="inlineStr">
        <is>
          <t>Rolling / Unspecified</t>
        </is>
      </c>
      <c r="H211" s="68" t="inlineStr">
        <is>
          <t>지원 링크 ↗</t>
        </is>
      </c>
    </row>
    <row r="212">
      <c r="A212" s="66" t="n">
        <v>211</v>
      </c>
      <c r="B212" s="67" t="inlineStr">
        <is>
          <t>gleacher-shacklock</t>
        </is>
      </c>
      <c r="C212" s="67" t="inlineStr">
        <is>
          <t>Investment Banking Summer Internship 2027</t>
        </is>
      </c>
      <c r="D212" s="67" t="inlineStr">
        <is>
          <t>Middle Market</t>
        </is>
      </c>
      <c r="E212" s="67" t="n"/>
      <c r="F212" s="66" t="inlineStr">
        <is>
          <t>N/A</t>
        </is>
      </c>
      <c r="G212" s="66" t="inlineStr">
        <is>
          <t>Rolling / Unspecified</t>
        </is>
      </c>
      <c r="H212" s="66" t="inlineStr">
        <is>
          <t>미제공 (포털직접)</t>
        </is>
      </c>
    </row>
    <row r="213">
      <c r="A213" s="66" t="n">
        <v>212</v>
      </c>
      <c r="B213" s="67" t="inlineStr">
        <is>
          <t>mizuho</t>
        </is>
      </c>
      <c r="C213" s="67" t="inlineStr">
        <is>
          <t>2027 Global Transaction Banking Summer Internship</t>
        </is>
      </c>
      <c r="D213" s="67" t="inlineStr">
        <is>
          <t>Middle Market</t>
        </is>
      </c>
      <c r="E213" s="67" t="n"/>
      <c r="F213" s="66" t="inlineStr">
        <is>
          <t>N/A</t>
        </is>
      </c>
      <c r="G213" s="66" t="inlineStr">
        <is>
          <t>2026-10-05T00:00:00.000Z</t>
        </is>
      </c>
      <c r="H213" s="68" t="inlineStr">
        <is>
          <t>지원 링크 ↗</t>
        </is>
      </c>
    </row>
    <row r="214">
      <c r="A214" s="66" t="n">
        <v>213</v>
      </c>
      <c r="B214" s="67" t="inlineStr">
        <is>
          <t>near-future-limited</t>
        </is>
      </c>
      <c r="C214" s="67" t="inlineStr">
        <is>
          <t>Financial Modelling Intern</t>
        </is>
      </c>
      <c r="D214" s="67" t="inlineStr">
        <is>
          <t>Consulting</t>
        </is>
      </c>
      <c r="E214" s="67" t="n"/>
      <c r="F214" s="66" t="inlineStr">
        <is>
          <t>N/A</t>
        </is>
      </c>
      <c r="G214" s="66" t="inlineStr">
        <is>
          <t>Rolling / Unspecified</t>
        </is>
      </c>
      <c r="H214" s="66" t="inlineStr">
        <is>
          <t>미제공 (포털직접)</t>
        </is>
      </c>
    </row>
    <row r="215">
      <c r="A215" s="66" t="n">
        <v>214</v>
      </c>
      <c r="B215" s="67" t="inlineStr">
        <is>
          <t>audit-scotland</t>
        </is>
      </c>
      <c r="C215" s="67" t="inlineStr">
        <is>
          <t>Summer Internship in Audit (2027)</t>
        </is>
      </c>
      <c r="D215" s="67" t="inlineStr">
        <is>
          <t>Accounting and Audit</t>
        </is>
      </c>
      <c r="E215" s="67" t="n"/>
      <c r="F215" s="66" t="inlineStr">
        <is>
          <t>N/A</t>
        </is>
      </c>
      <c r="G215" s="66" t="inlineStr">
        <is>
          <t>Rolling / Unspecified</t>
        </is>
      </c>
      <c r="H215" s="66" t="inlineStr">
        <is>
          <t>미제공 (포털직접)</t>
        </is>
      </c>
    </row>
    <row r="216">
      <c r="A216" s="66" t="n">
        <v>215</v>
      </c>
      <c r="B216" s="67" t="inlineStr">
        <is>
          <t>raine-group</t>
        </is>
      </c>
      <c r="C216" s="67" t="inlineStr">
        <is>
          <t>2027 Summer Analyst Program</t>
        </is>
      </c>
      <c r="D216" s="67" t="inlineStr">
        <is>
          <t>Elite Boutique</t>
        </is>
      </c>
      <c r="E216" s="67" t="n"/>
      <c r="F216" s="66" t="inlineStr">
        <is>
          <t>N/A</t>
        </is>
      </c>
      <c r="G216" s="66" t="inlineStr">
        <is>
          <t>Rolling / Unspecified</t>
        </is>
      </c>
      <c r="H216" s="68" t="inlineStr">
        <is>
          <t>지원 링크 ↗</t>
        </is>
      </c>
    </row>
    <row r="217">
      <c r="A217" s="66" t="n">
        <v>216</v>
      </c>
      <c r="B217" s="67" t="inlineStr">
        <is>
          <t>rede-partners</t>
        </is>
      </c>
      <c r="C217" s="67" t="inlineStr">
        <is>
          <t>2027 Summer Intern Programme</t>
        </is>
      </c>
      <c r="D217" s="67" t="inlineStr">
        <is>
          <t>Middle Market</t>
        </is>
      </c>
      <c r="E217" s="67" t="n"/>
      <c r="F217" s="66" t="inlineStr">
        <is>
          <t>N/A</t>
        </is>
      </c>
      <c r="G217" s="66" t="inlineStr">
        <is>
          <t>Rolling / Unspecified</t>
        </is>
      </c>
      <c r="H217" s="66" t="inlineStr">
        <is>
          <t>미제공 (포털직접)</t>
        </is>
      </c>
    </row>
    <row r="218">
      <c r="A218" s="66" t="n">
        <v>217</v>
      </c>
      <c r="B218" s="67" t="inlineStr">
        <is>
          <t>j-p-morgan</t>
        </is>
      </c>
      <c r="C218" s="67" t="inlineStr">
        <is>
          <t>2027 Global Corporate Banking Analyst Program - Summer Internship</t>
        </is>
      </c>
      <c r="D218" s="67" t="inlineStr">
        <is>
          <t>Bulge Bracket</t>
        </is>
      </c>
      <c r="E218" s="67" t="n"/>
      <c r="F218" s="66" t="inlineStr">
        <is>
          <t>N/A</t>
        </is>
      </c>
      <c r="G218" s="66" t="inlineStr">
        <is>
          <t>Rolling / Unspecified</t>
        </is>
      </c>
      <c r="H218" s="68" t="inlineStr">
        <is>
          <t>지원 링크 ↗</t>
        </is>
      </c>
    </row>
    <row r="219">
      <c r="A219" s="66" t="n">
        <v>218</v>
      </c>
      <c r="B219" s="67" t="inlineStr">
        <is>
          <t>howden</t>
        </is>
      </c>
      <c r="C219" s="67" t="inlineStr">
        <is>
          <t>Investment Banking Summer Analyst 2027</t>
        </is>
      </c>
      <c r="D219" s="67" t="inlineStr">
        <is>
          <t>Middle Market</t>
        </is>
      </c>
      <c r="E219" s="67" t="n"/>
      <c r="F219" s="66" t="inlineStr">
        <is>
          <t>N/A</t>
        </is>
      </c>
      <c r="G219" s="66" t="inlineStr">
        <is>
          <t>2026-10-13T00:00:00.000Z</t>
        </is>
      </c>
      <c r="H219" s="68" t="inlineStr">
        <is>
          <t>지원 링크 ↗</t>
        </is>
      </c>
    </row>
    <row r="220">
      <c r="A220" s="66" t="n">
        <v>219</v>
      </c>
      <c r="B220" s="67" t="inlineStr">
        <is>
          <t>rothesay</t>
        </is>
      </c>
      <c r="C220" s="67" t="inlineStr">
        <is>
          <t>2027 Summer Internship Programme - Trading and Asset Origination</t>
        </is>
      </c>
      <c r="D220" s="67" t="inlineStr">
        <is>
          <t>Pensions and Insurance</t>
        </is>
      </c>
      <c r="E220" s="67" t="n"/>
      <c r="F220" s="66" t="inlineStr">
        <is>
          <t>N/A</t>
        </is>
      </c>
      <c r="G220" s="66" t="inlineStr">
        <is>
          <t>2026-11-08T00:00:00.000Z</t>
        </is>
      </c>
      <c r="H220" s="68" t="inlineStr">
        <is>
          <t>지원 링크 ↗</t>
        </is>
      </c>
    </row>
    <row r="221">
      <c r="A221" s="66" t="n">
        <v>220</v>
      </c>
      <c r="B221" s="67" t="inlineStr">
        <is>
          <t>nextwave-consulting</t>
        </is>
      </c>
      <c r="C221" s="67" t="inlineStr">
        <is>
          <t>Financial Markets Intern 2027</t>
        </is>
      </c>
      <c r="D221" s="67" t="inlineStr">
        <is>
          <t>Consulting</t>
        </is>
      </c>
      <c r="E221" s="67" t="n"/>
      <c r="F221" s="66" t="inlineStr">
        <is>
          <t>N/A</t>
        </is>
      </c>
      <c r="G221" s="66" t="inlineStr">
        <is>
          <t>Rolling / Unspecified</t>
        </is>
      </c>
      <c r="H221" s="66" t="inlineStr">
        <is>
          <t>미제공 (포털직접)</t>
        </is>
      </c>
    </row>
    <row r="222">
      <c r="A222" s="66" t="n">
        <v>221</v>
      </c>
      <c r="B222" s="67" t="inlineStr">
        <is>
          <t>patrizia</t>
        </is>
      </c>
      <c r="C222" s="67" t="inlineStr">
        <is>
          <t>Student Analyst – Investment Technology, Real Estate (Part-time)</t>
        </is>
      </c>
      <c r="D222" s="67" t="inlineStr">
        <is>
          <t>Buy-Side</t>
        </is>
      </c>
      <c r="E222" s="67" t="n"/>
      <c r="F222" s="66" t="inlineStr">
        <is>
          <t>N/A</t>
        </is>
      </c>
      <c r="G222" s="66" t="inlineStr">
        <is>
          <t>2026-08-13T00:00:00.000Z</t>
        </is>
      </c>
      <c r="H222" s="68" t="inlineStr">
        <is>
          <t>지원 링크 ↗</t>
        </is>
      </c>
    </row>
    <row r="223">
      <c r="A223" s="66" t="n">
        <v>222</v>
      </c>
      <c r="B223" s="67" t="inlineStr">
        <is>
          <t>guidehouse</t>
        </is>
      </c>
      <c r="C223" s="67" t="inlineStr">
        <is>
          <t>Intern - Campus Summer 2027</t>
        </is>
      </c>
      <c r="D223" s="67" t="inlineStr">
        <is>
          <t>Consulting</t>
        </is>
      </c>
      <c r="E223" s="67" t="n"/>
      <c r="F223" s="66" t="inlineStr">
        <is>
          <t>N/A</t>
        </is>
      </c>
      <c r="G223" s="66" t="inlineStr">
        <is>
          <t>Rolling / Unspecified</t>
        </is>
      </c>
      <c r="H223" s="66" t="inlineStr">
        <is>
          <t>미제공 (포털직접)</t>
        </is>
      </c>
    </row>
    <row r="224">
      <c r="A224" s="66" t="n">
        <v>223</v>
      </c>
      <c r="B224" s="67" t="inlineStr">
        <is>
          <t>jane-street</t>
        </is>
      </c>
      <c r="C224" s="67" t="inlineStr">
        <is>
          <t>Quantitative Trading Intern Summer 2027</t>
        </is>
      </c>
      <c r="D224" s="67" t="inlineStr">
        <is>
          <t>Trading and Quant</t>
        </is>
      </c>
      <c r="E224" s="67" t="n"/>
      <c r="F224" s="66" t="inlineStr">
        <is>
          <t>N/A</t>
        </is>
      </c>
      <c r="G224" s="66" t="inlineStr">
        <is>
          <t>Rolling / Unspecified</t>
        </is>
      </c>
      <c r="H224" s="68" t="inlineStr">
        <is>
          <t>지원 링크 ↗</t>
        </is>
      </c>
    </row>
    <row r="225">
      <c r="A225" s="66" t="n">
        <v>224</v>
      </c>
      <c r="B225" s="67" t="inlineStr">
        <is>
          <t>columbia-threadneedle-investments</t>
        </is>
      </c>
      <c r="C225" s="67" t="inlineStr">
        <is>
          <t>Investments Internship</t>
        </is>
      </c>
      <c r="D225" s="67" t="inlineStr">
        <is>
          <t>Asset Management</t>
        </is>
      </c>
      <c r="E225" s="67" t="n"/>
      <c r="F225" s="66" t="inlineStr">
        <is>
          <t>N/A</t>
        </is>
      </c>
      <c r="G225" s="66" t="inlineStr">
        <is>
          <t>Rolling / Unspecified</t>
        </is>
      </c>
      <c r="H225" s="66" t="inlineStr">
        <is>
          <t>미제공 (포털직접)</t>
        </is>
      </c>
    </row>
    <row r="226">
      <c r="A226" s="66" t="n">
        <v>225</v>
      </c>
      <c r="B226" s="67" t="inlineStr">
        <is>
          <t>chicago-trading-company</t>
        </is>
      </c>
      <c r="C226" s="67" t="inlineStr">
        <is>
          <t>Quant Trading Internship - Summer 2027</t>
        </is>
      </c>
      <c r="D226" s="67" t="inlineStr">
        <is>
          <t>Trading and Quant</t>
        </is>
      </c>
      <c r="E226" s="67" t="n"/>
      <c r="F226" s="66" t="inlineStr">
        <is>
          <t>N/A</t>
        </is>
      </c>
      <c r="G226" s="66" t="inlineStr">
        <is>
          <t>Rolling / Unspecified</t>
        </is>
      </c>
      <c r="H226" s="68" t="inlineStr">
        <is>
          <t>지원 링크 ↗</t>
        </is>
      </c>
    </row>
    <row r="227">
      <c r="A227" s="66" t="n">
        <v>226</v>
      </c>
      <c r="B227" s="67" t="inlineStr">
        <is>
          <t>balyasny-asset-management</t>
        </is>
      </c>
      <c r="C227" s="67" t="inlineStr">
        <is>
          <t>Quantitative Analyst – Macro &amp; Commodities (Summer Internship)</t>
        </is>
      </c>
      <c r="D227" s="67" t="inlineStr">
        <is>
          <t>Buy-Side</t>
        </is>
      </c>
      <c r="E227" s="67" t="n"/>
      <c r="F227" s="66" t="inlineStr">
        <is>
          <t>N/A</t>
        </is>
      </c>
      <c r="G227" s="66" t="inlineStr">
        <is>
          <t>Rolling / Unspecified</t>
        </is>
      </c>
      <c r="H227" s="66" t="inlineStr">
        <is>
          <t>미제공 (포털직접)</t>
        </is>
      </c>
    </row>
    <row r="228">
      <c r="A228" s="66" t="n">
        <v>227</v>
      </c>
      <c r="B228" s="67" t="inlineStr">
        <is>
          <t>network-rail</t>
        </is>
      </c>
      <c r="C228" s="67" t="inlineStr">
        <is>
          <t>Finance Summer Placement</t>
        </is>
      </c>
      <c r="D228" s="67" t="inlineStr">
        <is>
          <t>Miscellaneous</t>
        </is>
      </c>
      <c r="E228" s="67" t="n"/>
      <c r="F228" s="66" t="inlineStr">
        <is>
          <t>N/A</t>
        </is>
      </c>
      <c r="G228" s="66" t="inlineStr">
        <is>
          <t>Rolling / Unspecified</t>
        </is>
      </c>
      <c r="H228" s="66" t="inlineStr">
        <is>
          <t>미제공 (포털직접)</t>
        </is>
      </c>
    </row>
    <row r="229">
      <c r="A229" s="66" t="n">
        <v>228</v>
      </c>
      <c r="B229" s="67" t="inlineStr">
        <is>
          <t>convex-insurance</t>
        </is>
      </c>
      <c r="C229" s="67" t="inlineStr">
        <is>
          <t>Summer Intern</t>
        </is>
      </c>
      <c r="D229" s="67" t="inlineStr">
        <is>
          <t>Pensions and Insurance</t>
        </is>
      </c>
      <c r="E229" s="67" t="n"/>
      <c r="F229" s="66" t="inlineStr">
        <is>
          <t>N/A</t>
        </is>
      </c>
      <c r="G229" s="66" t="inlineStr">
        <is>
          <t>Rolling / Unspecified</t>
        </is>
      </c>
      <c r="H229" s="66" t="inlineStr">
        <is>
          <t>미제공 (포털직접)</t>
        </is>
      </c>
    </row>
    <row r="230">
      <c r="A230" s="66" t="n">
        <v>229</v>
      </c>
      <c r="B230" s="67" t="inlineStr">
        <is>
          <t>d-e-shaw</t>
        </is>
      </c>
      <c r="C230" s="67" t="inlineStr">
        <is>
          <t>D. E. Shaw Investment Management (DESIM) Intern – Summer 2027</t>
        </is>
      </c>
      <c r="D230" s="67" t="inlineStr">
        <is>
          <t>Asset Management</t>
        </is>
      </c>
      <c r="E230" s="67" t="n"/>
      <c r="F230" s="66" t="inlineStr">
        <is>
          <t>N/A</t>
        </is>
      </c>
      <c r="G230" s="66" t="inlineStr">
        <is>
          <t>Rolling / Unspecified</t>
        </is>
      </c>
      <c r="H230" s="66" t="inlineStr">
        <is>
          <t>미제공 (포털직접)</t>
        </is>
      </c>
    </row>
    <row r="231">
      <c r="A231" s="66" t="n">
        <v>230</v>
      </c>
      <c r="B231" s="67" t="inlineStr">
        <is>
          <t>arkle-finance</t>
        </is>
      </c>
      <c r="C231" s="67" t="inlineStr">
        <is>
          <t>Summer Internship Programme 2027</t>
        </is>
      </c>
      <c r="D231" s="67" t="inlineStr">
        <is>
          <t>Miscellaneous</t>
        </is>
      </c>
      <c r="E231" s="67" t="n"/>
      <c r="F231" s="66" t="inlineStr">
        <is>
          <t>N/A</t>
        </is>
      </c>
      <c r="G231" s="66" t="inlineStr">
        <is>
          <t>Rolling / Unspecified</t>
        </is>
      </c>
      <c r="H231" s="66" t="inlineStr">
        <is>
          <t>미제공 (포털직접)</t>
        </is>
      </c>
    </row>
    <row r="232">
      <c r="A232" s="66" t="n">
        <v>231</v>
      </c>
      <c r="B232" s="67" t="inlineStr">
        <is>
          <t>bastion-trading</t>
        </is>
      </c>
      <c r="C232" s="67" t="inlineStr">
        <is>
          <t>Trading &amp; Quant Summer Internship 2027</t>
        </is>
      </c>
      <c r="D232" s="67" t="inlineStr">
        <is>
          <t>Trading and Quant</t>
        </is>
      </c>
      <c r="E232" s="67" t="n"/>
      <c r="F232" s="66" t="inlineStr">
        <is>
          <t>N/A</t>
        </is>
      </c>
      <c r="G232" s="66" t="inlineStr">
        <is>
          <t>Rolling / Unspecified</t>
        </is>
      </c>
      <c r="H232" s="66" t="inlineStr">
        <is>
          <t>미제공 (포털직접)</t>
        </is>
      </c>
    </row>
    <row r="233">
      <c r="A233" s="66" t="n">
        <v>232</v>
      </c>
      <c r="B233" s="67" t="inlineStr">
        <is>
          <t>goldman-sachs</t>
        </is>
      </c>
      <c r="C233" s="67" t="inlineStr">
        <is>
          <t>2027 Summer Analyst Programme</t>
        </is>
      </c>
      <c r="D233" s="67" t="inlineStr">
        <is>
          <t>Bulge Bracket</t>
        </is>
      </c>
      <c r="E233" s="67" t="n"/>
      <c r="F233" s="66" t="inlineStr">
        <is>
          <t>N/A</t>
        </is>
      </c>
      <c r="G233" s="66" t="inlineStr">
        <is>
          <t>Rolling / Unspecified</t>
        </is>
      </c>
      <c r="H233" s="68" t="inlineStr">
        <is>
          <t>지원 링크 ↗</t>
        </is>
      </c>
    </row>
    <row r="234">
      <c r="A234" s="66" t="n">
        <v>233</v>
      </c>
      <c r="B234" s="67" t="inlineStr">
        <is>
          <t>baker-hughes</t>
        </is>
      </c>
      <c r="C234" s="67" t="inlineStr">
        <is>
          <t>Emerging Talent - Finance 2027 Opportunities</t>
        </is>
      </c>
      <c r="D234" s="67" t="inlineStr">
        <is>
          <t>Miscellaneous</t>
        </is>
      </c>
      <c r="E234" s="67" t="n"/>
      <c r="F234" s="66" t="inlineStr">
        <is>
          <t>N/A</t>
        </is>
      </c>
      <c r="G234" s="66" t="inlineStr">
        <is>
          <t>Rolling / Unspecified</t>
        </is>
      </c>
      <c r="H234" s="66" t="inlineStr">
        <is>
          <t>미제공 (포털직접)</t>
        </is>
      </c>
    </row>
    <row r="235">
      <c r="A235" s="66" t="n">
        <v>234</v>
      </c>
      <c r="B235" s="67" t="inlineStr">
        <is>
          <t>tokio-marine-kiln</t>
        </is>
      </c>
      <c r="C235" s="67" t="inlineStr">
        <is>
          <t>2027 TMK Actuarial &amp; Analytics Internship Programme</t>
        </is>
      </c>
      <c r="D235" s="67" t="inlineStr">
        <is>
          <t>Pensions and Insurance</t>
        </is>
      </c>
      <c r="E235" s="67" t="n"/>
      <c r="F235" s="66" t="inlineStr">
        <is>
          <t>N/A</t>
        </is>
      </c>
      <c r="G235" s="66" t="inlineStr">
        <is>
          <t>Rolling / Unspecified</t>
        </is>
      </c>
      <c r="H235" s="66" t="inlineStr">
        <is>
          <t>미제공 (포털직접)</t>
        </is>
      </c>
    </row>
    <row r="236">
      <c r="A236" s="66" t="n">
        <v>235</v>
      </c>
      <c r="B236" s="67" t="inlineStr">
        <is>
          <t>american-express</t>
        </is>
      </c>
      <c r="C236" s="67" t="inlineStr">
        <is>
          <t>Campus - Internship Programme - 2027</t>
        </is>
      </c>
      <c r="D236" s="67" t="inlineStr">
        <is>
          <t>Miscellaneous</t>
        </is>
      </c>
      <c r="E236" s="67" t="n"/>
      <c r="F236" s="66" t="inlineStr">
        <is>
          <t>N/A</t>
        </is>
      </c>
      <c r="G236" s="66" t="inlineStr">
        <is>
          <t>2026-10-23T00:00:00.000Z</t>
        </is>
      </c>
      <c r="H236" s="68" t="inlineStr">
        <is>
          <t>지원 링크 ↗</t>
        </is>
      </c>
    </row>
    <row r="237">
      <c r="A237" s="66" t="n">
        <v>236</v>
      </c>
      <c r="B237" s="67" t="inlineStr">
        <is>
          <t>greenhill</t>
        </is>
      </c>
      <c r="C237" s="67" t="inlineStr">
        <is>
          <t>2027 Summer Internship</t>
        </is>
      </c>
      <c r="D237" s="67" t="inlineStr">
        <is>
          <t>Elite Boutique</t>
        </is>
      </c>
      <c r="E237" s="67" t="n"/>
      <c r="F237" s="66" t="inlineStr">
        <is>
          <t>N/A</t>
        </is>
      </c>
      <c r="G237" s="66" t="inlineStr">
        <is>
          <t>Rolling / Unspecified</t>
        </is>
      </c>
      <c r="H237" s="68" t="inlineStr">
        <is>
          <t>지원 링크 ↗</t>
        </is>
      </c>
    </row>
    <row r="238">
      <c r="A238" s="66" t="n">
        <v>237</v>
      </c>
      <c r="B238" s="67" t="inlineStr">
        <is>
          <t>blackstone</t>
        </is>
      </c>
      <c r="C238" s="67" t="inlineStr">
        <is>
          <t>2027 Summer Analyst</t>
        </is>
      </c>
      <c r="D238" s="67" t="inlineStr">
        <is>
          <t>Buy-Side</t>
        </is>
      </c>
      <c r="E238" s="67" t="n"/>
      <c r="F238" s="66" t="inlineStr">
        <is>
          <t>N/A</t>
        </is>
      </c>
      <c r="G238" s="66" t="inlineStr">
        <is>
          <t>2026-10-30T00:00:00.000Z</t>
        </is>
      </c>
      <c r="H238" s="68" t="inlineStr">
        <is>
          <t>지원 링크 ↗</t>
        </is>
      </c>
    </row>
    <row r="239">
      <c r="A239" s="66" t="n">
        <v>238</v>
      </c>
      <c r="B239" s="67" t="inlineStr">
        <is>
          <t>p-g</t>
        </is>
      </c>
      <c r="C239" s="67" t="inlineStr">
        <is>
          <t>Finance &amp; Accounting Summer Internship 2027</t>
        </is>
      </c>
      <c r="D239" s="67" t="inlineStr">
        <is>
          <t>Accounting and Audit</t>
        </is>
      </c>
      <c r="E239" s="67" t="n"/>
      <c r="F239" s="66" t="inlineStr">
        <is>
          <t>N/A</t>
        </is>
      </c>
      <c r="G239" s="66" t="inlineStr">
        <is>
          <t>Rolling / Unspecified</t>
        </is>
      </c>
      <c r="H239" s="66" t="inlineStr">
        <is>
          <t>미제공 (포털직접)</t>
        </is>
      </c>
    </row>
    <row r="240">
      <c r="A240" s="66" t="n">
        <v>239</v>
      </c>
      <c r="B240" s="67" t="inlineStr">
        <is>
          <t>dow-jones</t>
        </is>
      </c>
      <c r="C240" s="67" t="inlineStr">
        <is>
          <t>Summer 2027 Internship</t>
        </is>
      </c>
      <c r="D240" s="67" t="inlineStr">
        <is>
          <t>Miscellaneous</t>
        </is>
      </c>
      <c r="E240" s="67" t="n"/>
      <c r="F240" s="66" t="inlineStr">
        <is>
          <t>N/A</t>
        </is>
      </c>
      <c r="G240" s="66" t="inlineStr">
        <is>
          <t>Rolling / Unspecified</t>
        </is>
      </c>
      <c r="H240" s="66" t="inlineStr">
        <is>
          <t>미제공 (포털직접)</t>
        </is>
      </c>
    </row>
    <row r="241">
      <c r="A241" s="66" t="n">
        <v>240</v>
      </c>
      <c r="B241" s="67" t="inlineStr">
        <is>
          <t>j-p-morgan</t>
        </is>
      </c>
      <c r="C241" s="67" t="inlineStr">
        <is>
          <t>2027 Global Private Bank - Investment Solutions Summer Internship</t>
        </is>
      </c>
      <c r="D241" s="67" t="inlineStr">
        <is>
          <t>Bulge Bracket</t>
        </is>
      </c>
      <c r="E241" s="67" t="n"/>
      <c r="F241" s="66" t="inlineStr">
        <is>
          <t>N/A</t>
        </is>
      </c>
      <c r="G241" s="66" t="inlineStr">
        <is>
          <t>Rolling / Unspecified</t>
        </is>
      </c>
      <c r="H241" s="68" t="inlineStr">
        <is>
          <t>지원 링크 ↗</t>
        </is>
      </c>
    </row>
    <row r="242">
      <c r="A242" s="66" t="n">
        <v>241</v>
      </c>
      <c r="B242" s="67" t="inlineStr">
        <is>
          <t>enstar-group</t>
        </is>
      </c>
      <c r="C242" s="67" t="inlineStr">
        <is>
          <t>Summer Internship Programme 2027</t>
        </is>
      </c>
      <c r="D242" s="67" t="inlineStr">
        <is>
          <t>Pensions and Insurance</t>
        </is>
      </c>
      <c r="E242" s="67" t="n"/>
      <c r="F242" s="66" t="inlineStr">
        <is>
          <t>N/A</t>
        </is>
      </c>
      <c r="G242" s="66" t="inlineStr">
        <is>
          <t>Rolling / Unspecified</t>
        </is>
      </c>
      <c r="H242" s="66" t="inlineStr">
        <is>
          <t>미제공 (포털직접)</t>
        </is>
      </c>
    </row>
    <row r="243">
      <c r="A243" s="66" t="n">
        <v>242</v>
      </c>
      <c r="B243" s="67" t="inlineStr">
        <is>
          <t>fidelity</t>
        </is>
      </c>
      <c r="C243" s="67" t="inlineStr">
        <is>
          <t>Summer 2027 Equity Research Associate Intern</t>
        </is>
      </c>
      <c r="D243" s="67" t="inlineStr">
        <is>
          <t>Asset Management</t>
        </is>
      </c>
      <c r="E243" s="67" t="n"/>
      <c r="F243" s="66" t="inlineStr">
        <is>
          <t>N/A</t>
        </is>
      </c>
      <c r="G243" s="66" t="inlineStr">
        <is>
          <t>2026-09-25T00:00:00.000Z</t>
        </is>
      </c>
      <c r="H243" s="68" t="inlineStr">
        <is>
          <t>지원 링크 ↗</t>
        </is>
      </c>
    </row>
    <row r="244">
      <c r="A244" s="66" t="n">
        <v>243</v>
      </c>
      <c r="B244" s="67" t="inlineStr">
        <is>
          <t>weatherbys-private-bank</t>
        </is>
      </c>
      <c r="C244" s="67" t="inlineStr">
        <is>
          <t>Summer Internship Programme 2027</t>
        </is>
      </c>
      <c r="D244" s="67" t="inlineStr">
        <is>
          <t>Asset Management</t>
        </is>
      </c>
      <c r="E244" s="67" t="n"/>
      <c r="F244" s="66" t="inlineStr">
        <is>
          <t>N/A</t>
        </is>
      </c>
      <c r="G244" s="66" t="inlineStr">
        <is>
          <t>Rolling / Unspecified</t>
        </is>
      </c>
      <c r="H244" s="66" t="inlineStr">
        <is>
          <t>미제공 (포털직접)</t>
        </is>
      </c>
    </row>
    <row r="245">
      <c r="A245" s="66" t="n">
        <v>244</v>
      </c>
      <c r="B245" s="67" t="inlineStr">
        <is>
          <t>marshall-wace</t>
        </is>
      </c>
      <c r="C245" s="67" t="inlineStr">
        <is>
          <t>Quant Research Intern - 2027</t>
        </is>
      </c>
      <c r="D245" s="67" t="inlineStr">
        <is>
          <t>Trading and Quant</t>
        </is>
      </c>
      <c r="E245" s="67" t="n"/>
      <c r="F245" s="66" t="inlineStr">
        <is>
          <t>N/A</t>
        </is>
      </c>
      <c r="G245" s="66" t="inlineStr">
        <is>
          <t>Rolling / Unspecified</t>
        </is>
      </c>
      <c r="H245" s="68" t="inlineStr">
        <is>
          <t>지원 링크 ↗</t>
        </is>
      </c>
    </row>
    <row r="246">
      <c r="A246" s="66" t="n">
        <v>245</v>
      </c>
      <c r="B246" s="67" t="inlineStr">
        <is>
          <t>rothesay</t>
        </is>
      </c>
      <c r="C246" s="67" t="inlineStr">
        <is>
          <t>2027 Summer Internship Programme - Quantitative Strategist</t>
        </is>
      </c>
      <c r="D246" s="67" t="inlineStr">
        <is>
          <t>Pensions and Insurance</t>
        </is>
      </c>
      <c r="E246" s="67" t="n"/>
      <c r="F246" s="66" t="inlineStr">
        <is>
          <t>N/A</t>
        </is>
      </c>
      <c r="G246" s="66" t="inlineStr">
        <is>
          <t>2026-11-08T00:00:00.000Z</t>
        </is>
      </c>
      <c r="H246" s="68" t="inlineStr">
        <is>
          <t>지원 링크 ↗</t>
        </is>
      </c>
    </row>
    <row r="247">
      <c r="A247" s="66" t="n">
        <v>246</v>
      </c>
      <c r="B247" s="67" t="inlineStr">
        <is>
          <t>rothschild-co</t>
        </is>
      </c>
      <c r="C247" s="67" t="inlineStr">
        <is>
          <t>2027 Summer Analyst Programme</t>
        </is>
      </c>
      <c r="D247" s="67" t="inlineStr">
        <is>
          <t>Elite Boutique</t>
        </is>
      </c>
      <c r="E247" s="67" t="n"/>
      <c r="F247" s="66" t="inlineStr">
        <is>
          <t>N/A</t>
        </is>
      </c>
      <c r="G247" s="66" t="inlineStr">
        <is>
          <t>2026-09-27T00:00:00.000Z</t>
        </is>
      </c>
      <c r="H247" s="68" t="inlineStr">
        <is>
          <t>지원 링크 ↗</t>
        </is>
      </c>
    </row>
    <row r="248">
      <c r="A248" s="66" t="n">
        <v>247</v>
      </c>
      <c r="B248" s="67" t="inlineStr">
        <is>
          <t>stj-advisors</t>
        </is>
      </c>
      <c r="C248" s="67" t="inlineStr">
        <is>
          <t>Summer Internship Program 2027</t>
        </is>
      </c>
      <c r="D248" s="67" t="inlineStr">
        <is>
          <t>Middle Market</t>
        </is>
      </c>
      <c r="E248" s="67" t="n"/>
      <c r="F248" s="66" t="inlineStr">
        <is>
          <t>N/A</t>
        </is>
      </c>
      <c r="G248" s="66" t="inlineStr">
        <is>
          <t>Rolling / Unspecified</t>
        </is>
      </c>
      <c r="H248" s="66" t="inlineStr">
        <is>
          <t>미제공 (포털직접)</t>
        </is>
      </c>
    </row>
    <row r="249">
      <c r="A249" s="66" t="n">
        <v>248</v>
      </c>
      <c r="B249" s="67" t="inlineStr">
        <is>
          <t>s-p-global</t>
        </is>
      </c>
      <c r="C249" s="67" t="inlineStr">
        <is>
          <t>2027 Summer Internship</t>
        </is>
      </c>
      <c r="D249" s="67" t="inlineStr">
        <is>
          <t>Miscellaneous</t>
        </is>
      </c>
      <c r="E249" s="67" t="n"/>
      <c r="F249" s="66" t="inlineStr">
        <is>
          <t>N/A</t>
        </is>
      </c>
      <c r="G249" s="66" t="inlineStr">
        <is>
          <t>Rolling / Unspecified</t>
        </is>
      </c>
      <c r="H249" s="66" t="inlineStr">
        <is>
          <t>미제공 (포털직접)</t>
        </is>
      </c>
    </row>
    <row r="250">
      <c r="A250" s="66" t="n">
        <v>249</v>
      </c>
      <c r="B250" s="67" t="inlineStr">
        <is>
          <t>exoduspoint</t>
        </is>
      </c>
      <c r="C250" s="67" t="inlineStr">
        <is>
          <t>Quant Internship 2027</t>
        </is>
      </c>
      <c r="D250" s="67" t="inlineStr">
        <is>
          <t>Trading and Quant</t>
        </is>
      </c>
      <c r="E250" s="67" t="n"/>
      <c r="F250" s="66" t="inlineStr">
        <is>
          <t>N/A</t>
        </is>
      </c>
      <c r="G250" s="66" t="inlineStr">
        <is>
          <t>Rolling / Unspecified</t>
        </is>
      </c>
      <c r="H250" s="66" t="inlineStr">
        <is>
          <t>미제공 (포털직접)</t>
        </is>
      </c>
    </row>
    <row r="251">
      <c r="A251" s="66" t="n">
        <v>250</v>
      </c>
      <c r="B251" s="67" t="inlineStr">
        <is>
          <t>l-e-k-consulting</t>
        </is>
      </c>
      <c r="C251" s="67" t="inlineStr">
        <is>
          <t>Summer Associate 2027</t>
        </is>
      </c>
      <c r="D251" s="67" t="inlineStr">
        <is>
          <t>Consulting</t>
        </is>
      </c>
      <c r="E251" s="67" t="n"/>
      <c r="F251" s="66" t="inlineStr">
        <is>
          <t>N/A</t>
        </is>
      </c>
      <c r="G251" s="66" t="inlineStr">
        <is>
          <t>Rolling / Unspecified</t>
        </is>
      </c>
      <c r="H251" s="66" t="inlineStr">
        <is>
          <t>미제공 (포털직접)</t>
        </is>
      </c>
    </row>
    <row r="252">
      <c r="A252" s="66" t="n">
        <v>251</v>
      </c>
      <c r="B252" s="67" t="inlineStr">
        <is>
          <t>mufg</t>
        </is>
      </c>
      <c r="C252" s="67" t="inlineStr">
        <is>
          <t>2027 Summer Analyst Programme: Japanese Corporate Banking</t>
        </is>
      </c>
      <c r="D252" s="67" t="inlineStr">
        <is>
          <t>Middle Market</t>
        </is>
      </c>
      <c r="E252" s="67" t="n"/>
      <c r="F252" s="66" t="inlineStr">
        <is>
          <t>N/A</t>
        </is>
      </c>
      <c r="G252" s="66" t="inlineStr">
        <is>
          <t>2026-11-29T00:00:00.000Z</t>
        </is>
      </c>
      <c r="H252" s="68" t="inlineStr">
        <is>
          <t>지원 링크 ↗</t>
        </is>
      </c>
    </row>
    <row r="253">
      <c r="A253" s="66" t="n">
        <v>252</v>
      </c>
      <c r="B253" s="67" t="inlineStr">
        <is>
          <t>johnston-carmichael</t>
        </is>
      </c>
      <c r="C253" s="67" t="inlineStr">
        <is>
          <t>Summer Internship - 2027</t>
        </is>
      </c>
      <c r="D253" s="67" t="inlineStr">
        <is>
          <t>Accounting and Audit</t>
        </is>
      </c>
      <c r="E253" s="67" t="n"/>
      <c r="F253" s="66" t="inlineStr">
        <is>
          <t>N/A</t>
        </is>
      </c>
      <c r="G253" s="66" t="inlineStr">
        <is>
          <t>Rolling / Unspecified</t>
        </is>
      </c>
      <c r="H253" s="66" t="inlineStr">
        <is>
          <t>미제공 (포털직접)</t>
        </is>
      </c>
    </row>
    <row r="254">
      <c r="A254" s="66" t="n">
        <v>253</v>
      </c>
      <c r="B254" s="67" t="inlineStr">
        <is>
          <t>man-group</t>
        </is>
      </c>
      <c r="C254" s="67" t="inlineStr">
        <is>
          <t>2027 Summer Intern Programme</t>
        </is>
      </c>
      <c r="D254" s="67" t="inlineStr">
        <is>
          <t>Buy-Side</t>
        </is>
      </c>
      <c r="E254" s="67" t="n"/>
      <c r="F254" s="66" t="inlineStr">
        <is>
          <t>N/A</t>
        </is>
      </c>
      <c r="G254" s="66" t="inlineStr">
        <is>
          <t>Rolling / Unspecified</t>
        </is>
      </c>
      <c r="H254" s="66" t="inlineStr">
        <is>
          <t>미제공 (포털직접)</t>
        </is>
      </c>
    </row>
    <row r="255">
      <c r="A255" s="66" t="n">
        <v>254</v>
      </c>
      <c r="B255" s="67" t="inlineStr">
        <is>
          <t>roland-berger</t>
        </is>
      </c>
      <c r="C255" s="67" t="inlineStr">
        <is>
          <t>Junior Consultant - Summer Internship 2027</t>
        </is>
      </c>
      <c r="D255" s="67" t="inlineStr">
        <is>
          <t>Consulting</t>
        </is>
      </c>
      <c r="E255" s="67" t="n"/>
      <c r="F255" s="66" t="inlineStr">
        <is>
          <t>N/A</t>
        </is>
      </c>
      <c r="G255" s="66" t="inlineStr">
        <is>
          <t>Rolling / Unspecified</t>
        </is>
      </c>
      <c r="H255" s="66" t="inlineStr">
        <is>
          <t>미제공 (포털직접)</t>
        </is>
      </c>
    </row>
    <row r="256">
      <c r="A256" s="66" t="n">
        <v>255</v>
      </c>
      <c r="B256" s="67" t="inlineStr">
        <is>
          <t>accuracy</t>
        </is>
      </c>
      <c r="C256" s="67" t="inlineStr">
        <is>
          <t>Finance Intern 2027</t>
        </is>
      </c>
      <c r="D256" s="67" t="inlineStr">
        <is>
          <t>Consulting</t>
        </is>
      </c>
      <c r="E256" s="67" t="n"/>
      <c r="F256" s="66" t="inlineStr">
        <is>
          <t>N/A</t>
        </is>
      </c>
      <c r="G256" s="66" t="inlineStr">
        <is>
          <t>Rolling / Unspecified</t>
        </is>
      </c>
      <c r="H256" s="68" t="inlineStr">
        <is>
          <t>지원 링크 ↗</t>
        </is>
      </c>
    </row>
    <row r="257">
      <c r="A257" s="66" t="n">
        <v>256</v>
      </c>
      <c r="B257" s="67" t="inlineStr">
        <is>
          <t>gartner</t>
        </is>
      </c>
      <c r="C257" s="67" t="inlineStr">
        <is>
          <t>Account Management Internship, Summer 2027</t>
        </is>
      </c>
      <c r="D257" s="67" t="inlineStr">
        <is>
          <t>Accounting and Audit</t>
        </is>
      </c>
      <c r="E257" s="67" t="n"/>
      <c r="F257" s="66" t="inlineStr">
        <is>
          <t>N/A</t>
        </is>
      </c>
      <c r="G257" s="66" t="inlineStr">
        <is>
          <t>Rolling / Unspecified</t>
        </is>
      </c>
      <c r="H257" s="66" t="inlineStr">
        <is>
          <t>미제공 (포털직접)</t>
        </is>
      </c>
    </row>
    <row r="258">
      <c r="A258" s="66" t="n">
        <v>257</v>
      </c>
      <c r="B258" s="67" t="inlineStr">
        <is>
          <t>jll</t>
        </is>
      </c>
      <c r="C258" s="67" t="inlineStr">
        <is>
          <t>Capital Markets Intern - London</t>
        </is>
      </c>
      <c r="D258" s="67" t="inlineStr">
        <is>
          <t>Asset Management</t>
        </is>
      </c>
      <c r="E258" s="67" t="n"/>
      <c r="F258" s="66" t="inlineStr">
        <is>
          <t>N/A</t>
        </is>
      </c>
      <c r="G258" s="66" t="inlineStr">
        <is>
          <t>Rolling / Unspecified</t>
        </is>
      </c>
      <c r="H258" s="66" t="inlineStr">
        <is>
          <t>미제공 (포털직접)</t>
        </is>
      </c>
    </row>
    <row r="259">
      <c r="A259" s="66" t="n">
        <v>258</v>
      </c>
      <c r="B259" s="67" t="inlineStr">
        <is>
          <t>oracle</t>
        </is>
      </c>
      <c r="C259" s="67" t="inlineStr">
        <is>
          <t>Financial Analyst Intern</t>
        </is>
      </c>
      <c r="D259" s="67" t="inlineStr">
        <is>
          <t>Miscellaneous</t>
        </is>
      </c>
      <c r="E259" s="67" t="n"/>
      <c r="F259" s="66" t="inlineStr">
        <is>
          <t>N/A</t>
        </is>
      </c>
      <c r="G259" s="66" t="inlineStr">
        <is>
          <t>Rolling / Unspecified</t>
        </is>
      </c>
      <c r="H259" s="66" t="inlineStr">
        <is>
          <t>미제공 (포털직접)</t>
        </is>
      </c>
    </row>
    <row r="260">
      <c r="A260" s="66" t="n">
        <v>259</v>
      </c>
      <c r="B260" s="67" t="inlineStr">
        <is>
          <t>zurich-insurance</t>
        </is>
      </c>
      <c r="C260" s="67" t="inlineStr">
        <is>
          <t>Summer Internship 2027</t>
        </is>
      </c>
      <c r="D260" s="67" t="inlineStr">
        <is>
          <t>Pensions and Insurance</t>
        </is>
      </c>
      <c r="E260" s="67" t="n"/>
      <c r="F260" s="66" t="inlineStr">
        <is>
          <t>N/A</t>
        </is>
      </c>
      <c r="G260" s="66" t="inlineStr">
        <is>
          <t>2026-10-18T00:00:00.000Z</t>
        </is>
      </c>
      <c r="H260" s="68" t="inlineStr">
        <is>
          <t>지원 링크 ↗</t>
        </is>
      </c>
    </row>
    <row r="261">
      <c r="A261" s="66" t="n">
        <v>260</v>
      </c>
      <c r="B261" s="67" t="inlineStr">
        <is>
          <t>leo-crown-estates</t>
        </is>
      </c>
      <c r="C261" s="67" t="inlineStr">
        <is>
          <t>Intern - Dubai Real Estate</t>
        </is>
      </c>
      <c r="D261" s="67" t="inlineStr">
        <is>
          <t>Asset Management</t>
        </is>
      </c>
      <c r="E261" s="67" t="n"/>
      <c r="F261" s="66" t="inlineStr">
        <is>
          <t>N/A</t>
        </is>
      </c>
      <c r="G261" s="66" t="inlineStr">
        <is>
          <t>Rolling / Unspecified</t>
        </is>
      </c>
      <c r="H261" s="66" t="inlineStr">
        <is>
          <t>미제공 (포털직접)</t>
        </is>
      </c>
    </row>
    <row r="262">
      <c r="A262" s="66" t="n">
        <v>261</v>
      </c>
      <c r="B262" s="67" t="inlineStr">
        <is>
          <t>charities-aid-foundation</t>
        </is>
      </c>
      <c r="C262" s="67" t="inlineStr">
        <is>
          <t>Summer 2027 Internship</t>
        </is>
      </c>
      <c r="D262" s="67" t="inlineStr">
        <is>
          <t>Accounting and Audit</t>
        </is>
      </c>
      <c r="E262" s="67" t="n"/>
      <c r="F262" s="66" t="inlineStr">
        <is>
          <t>N/A</t>
        </is>
      </c>
      <c r="G262" s="66" t="inlineStr">
        <is>
          <t>Rolling / Unspecified</t>
        </is>
      </c>
      <c r="H262" s="66" t="inlineStr">
        <is>
          <t>미제공 (포털직접)</t>
        </is>
      </c>
    </row>
    <row r="263">
      <c r="A263" s="66" t="n">
        <v>262</v>
      </c>
      <c r="B263" s="67" t="inlineStr">
        <is>
          <t>hymans-robertson</t>
        </is>
      </c>
      <c r="C263" s="67" t="inlineStr">
        <is>
          <t>Pensions Governance &amp; Investment Consulting: Summer Internship</t>
        </is>
      </c>
      <c r="D263" s="67" t="inlineStr">
        <is>
          <t>Pensions and Insurance</t>
        </is>
      </c>
      <c r="E263" s="67" t="n"/>
      <c r="F263" s="66" t="inlineStr">
        <is>
          <t>N/A</t>
        </is>
      </c>
      <c r="G263" s="66" t="inlineStr">
        <is>
          <t>Rolling / Unspecified</t>
        </is>
      </c>
      <c r="H263" s="66" t="inlineStr">
        <is>
          <t>미제공 (포털직접)</t>
        </is>
      </c>
    </row>
    <row r="264">
      <c r="A264" s="66" t="n">
        <v>263</v>
      </c>
      <c r="B264" s="67" t="inlineStr">
        <is>
          <t>aj-bell</t>
        </is>
      </c>
      <c r="C264" s="67" t="inlineStr">
        <is>
          <t>Investments Internship 2027 - 4 Week Placement</t>
        </is>
      </c>
      <c r="D264" s="67" t="inlineStr">
        <is>
          <t>Miscellaneous</t>
        </is>
      </c>
      <c r="E264" s="67" t="n"/>
      <c r="F264" s="66" t="inlineStr">
        <is>
          <t>N/A</t>
        </is>
      </c>
      <c r="G264" s="66" t="inlineStr">
        <is>
          <t>Rolling / Unspecified</t>
        </is>
      </c>
      <c r="H264" s="66" t="inlineStr">
        <is>
          <t>미제공 (포털직접)</t>
        </is>
      </c>
    </row>
    <row r="265">
      <c r="A265" s="66" t="n">
        <v>264</v>
      </c>
      <c r="B265" s="67" t="inlineStr">
        <is>
          <t>susquehanna-international-group</t>
        </is>
      </c>
      <c r="C265" s="67" t="inlineStr">
        <is>
          <t>Quantitative Trading Internship: Summer 2027</t>
        </is>
      </c>
      <c r="D265" s="67" t="inlineStr">
        <is>
          <t>Trading and Quant</t>
        </is>
      </c>
      <c r="E265" s="67" t="n"/>
      <c r="F265" s="66" t="inlineStr">
        <is>
          <t>N/A</t>
        </is>
      </c>
      <c r="G265" s="66" t="inlineStr">
        <is>
          <t>Rolling / Unspecified</t>
        </is>
      </c>
      <c r="H265" s="68" t="inlineStr">
        <is>
          <t>지원 링크 ↗</t>
        </is>
      </c>
    </row>
    <row r="266">
      <c r="A266" s="66" t="n">
        <v>265</v>
      </c>
      <c r="B266" s="67" t="inlineStr">
        <is>
          <t>ice</t>
        </is>
      </c>
      <c r="C266" s="67" t="inlineStr">
        <is>
          <t>Summer Internship Program 2027</t>
        </is>
      </c>
      <c r="D266" s="67" t="inlineStr">
        <is>
          <t>Miscellaneous</t>
        </is>
      </c>
      <c r="E266" s="67" t="n"/>
      <c r="F266" s="66" t="inlineStr">
        <is>
          <t>N/A</t>
        </is>
      </c>
      <c r="G266" s="66" t="inlineStr">
        <is>
          <t>Rolling / Unspecified</t>
        </is>
      </c>
      <c r="H266" s="66" t="inlineStr">
        <is>
          <t>미제공 (포털직접)</t>
        </is>
      </c>
    </row>
    <row r="267">
      <c r="A267" s="66" t="n">
        <v>266</v>
      </c>
      <c r="B267" s="67" t="inlineStr">
        <is>
          <t>bain-company</t>
        </is>
      </c>
      <c r="C267" s="67" t="inlineStr">
        <is>
          <t>True North: Scholarship for Women</t>
        </is>
      </c>
      <c r="D267" s="67" t="inlineStr">
        <is>
          <t>Consulting</t>
        </is>
      </c>
      <c r="E267" s="67" t="n"/>
      <c r="F267" s="66" t="inlineStr">
        <is>
          <t>N/A</t>
        </is>
      </c>
      <c r="G267" s="66" t="inlineStr">
        <is>
          <t>Rolling / Unspecified</t>
        </is>
      </c>
      <c r="H267" s="66" t="inlineStr">
        <is>
          <t>미제공 (포털직접)</t>
        </is>
      </c>
    </row>
    <row r="268">
      <c r="A268" s="66" t="n">
        <v>267</v>
      </c>
      <c r="B268" s="67" t="inlineStr">
        <is>
          <t>capstone</t>
        </is>
      </c>
      <c r="C268" s="67" t="inlineStr">
        <is>
          <t>2027 Summer Internship</t>
        </is>
      </c>
      <c r="D268" s="67" t="inlineStr">
        <is>
          <t>Buy-Side</t>
        </is>
      </c>
      <c r="E268" s="67" t="n"/>
      <c r="F268" s="66" t="inlineStr">
        <is>
          <t>N/A</t>
        </is>
      </c>
      <c r="G268" s="66" t="inlineStr">
        <is>
          <t>Rolling / Unspecified</t>
        </is>
      </c>
      <c r="H268" s="66" t="inlineStr">
        <is>
          <t>미제공 (포털직접)</t>
        </is>
      </c>
    </row>
    <row r="269">
      <c r="A269" s="66" t="n">
        <v>268</v>
      </c>
      <c r="B269" s="67" t="inlineStr">
        <is>
          <t>xantium</t>
        </is>
      </c>
      <c r="C269" s="67" t="inlineStr">
        <is>
          <t>Quantitative Researcher Internship</t>
        </is>
      </c>
      <c r="D269" s="67" t="inlineStr">
        <is>
          <t>Trading and Quant</t>
        </is>
      </c>
      <c r="E269" s="67" t="n"/>
      <c r="F269" s="66" t="inlineStr">
        <is>
          <t>N/A</t>
        </is>
      </c>
      <c r="G269" s="66" t="inlineStr">
        <is>
          <t>Rolling / Unspecified</t>
        </is>
      </c>
      <c r="H269" s="68" t="inlineStr">
        <is>
          <t>지원 링크 ↗</t>
        </is>
      </c>
    </row>
    <row r="270">
      <c r="A270" s="66" t="n">
        <v>269</v>
      </c>
      <c r="B270" s="67" t="inlineStr">
        <is>
          <t>brio-real-estate</t>
        </is>
      </c>
      <c r="C270" s="67" t="inlineStr">
        <is>
          <t>Summer Intern</t>
        </is>
      </c>
      <c r="D270" s="67" t="inlineStr">
        <is>
          <t>Buy-Side</t>
        </is>
      </c>
      <c r="E270" s="67" t="n"/>
      <c r="F270" s="66" t="inlineStr">
        <is>
          <t>N/A</t>
        </is>
      </c>
      <c r="G270" s="66" t="inlineStr">
        <is>
          <t>Rolling / Unspecified</t>
        </is>
      </c>
      <c r="H270" s="66" t="inlineStr">
        <is>
          <t>미제공 (포털직접)</t>
        </is>
      </c>
    </row>
    <row r="271">
      <c r="A271" s="66" t="n">
        <v>270</v>
      </c>
      <c r="B271" s="67" t="inlineStr">
        <is>
          <t>pharus</t>
        </is>
      </c>
      <c r="C271" s="67" t="inlineStr">
        <is>
          <t>Investment Banking Summer Analyst - 2027</t>
        </is>
      </c>
      <c r="D271" s="67" t="inlineStr">
        <is>
          <t>Middle Market</t>
        </is>
      </c>
      <c r="E271" s="67" t="n"/>
      <c r="F271" s="66" t="inlineStr">
        <is>
          <t>N/A</t>
        </is>
      </c>
      <c r="G271" s="66" t="inlineStr">
        <is>
          <t>Rolling / Unspecified</t>
        </is>
      </c>
      <c r="H271" s="66" t="inlineStr">
        <is>
          <t>미제공 (포털직접)</t>
        </is>
      </c>
    </row>
    <row r="272">
      <c r="A272" s="66" t="n">
        <v>271</v>
      </c>
      <c r="B272" s="67" t="inlineStr">
        <is>
          <t>j-p-morgan</t>
        </is>
      </c>
      <c r="C272" s="67" t="inlineStr">
        <is>
          <t>2027 Global Investment Banking Analyst Program - Summer Internship</t>
        </is>
      </c>
      <c r="D272" s="67" t="inlineStr">
        <is>
          <t>Bulge Bracket</t>
        </is>
      </c>
      <c r="E272" s="67" t="n"/>
      <c r="F272" s="66" t="inlineStr">
        <is>
          <t>N/A</t>
        </is>
      </c>
      <c r="G272" s="66" t="inlineStr">
        <is>
          <t>Rolling / Unspecified</t>
        </is>
      </c>
      <c r="H272" s="68" t="inlineStr">
        <is>
          <t>지원 링크 ↗</t>
        </is>
      </c>
    </row>
    <row r="273">
      <c r="A273" s="66" t="n">
        <v>272</v>
      </c>
      <c r="B273" s="67" t="inlineStr">
        <is>
          <t>kline-hill-partners</t>
        </is>
      </c>
      <c r="C273" s="67" t="inlineStr">
        <is>
          <t>Summer 2027 Investment Team Intern</t>
        </is>
      </c>
      <c r="D273" s="67" t="inlineStr">
        <is>
          <t>Buy-Side</t>
        </is>
      </c>
      <c r="E273" s="67" t="n"/>
      <c r="F273" s="66" t="inlineStr">
        <is>
          <t>N/A</t>
        </is>
      </c>
      <c r="G273" s="66" t="inlineStr">
        <is>
          <t>Rolling / Unspecified</t>
        </is>
      </c>
      <c r="H273" s="66" t="inlineStr">
        <is>
          <t>미제공 (포털직접)</t>
        </is>
      </c>
    </row>
    <row r="274">
      <c r="A274" s="66" t="n">
        <v>273</v>
      </c>
      <c r="B274" s="67" t="inlineStr">
        <is>
          <t>natrium-capital</t>
        </is>
      </c>
      <c r="C274" s="67" t="inlineStr">
        <is>
          <t>Chemicals M&amp;A Research Analyst Intern</t>
        </is>
      </c>
      <c r="D274" s="67" t="inlineStr">
        <is>
          <t>Miscellaneous</t>
        </is>
      </c>
      <c r="E274" s="67" t="n"/>
      <c r="F274" s="66" t="inlineStr">
        <is>
          <t>N/A</t>
        </is>
      </c>
      <c r="G274" s="66" t="inlineStr">
        <is>
          <t>Rolling / Unspecified</t>
        </is>
      </c>
      <c r="H274" s="66" t="inlineStr">
        <is>
          <t>미제공 (포털직접)</t>
        </is>
      </c>
    </row>
    <row r="275">
      <c r="A275" s="66" t="n">
        <v>274</v>
      </c>
      <c r="B275" s="67" t="inlineStr">
        <is>
          <t>altana-wealth</t>
        </is>
      </c>
      <c r="C275" s="67" t="inlineStr">
        <is>
          <t>Credit Analyst Internship (Chinese speaking)</t>
        </is>
      </c>
      <c r="D275" s="67" t="inlineStr">
        <is>
          <t>Asset Management</t>
        </is>
      </c>
      <c r="E275" s="67" t="n"/>
      <c r="F275" s="66" t="inlineStr">
        <is>
          <t>N/A</t>
        </is>
      </c>
      <c r="G275" s="66" t="inlineStr">
        <is>
          <t>Rolling / Unspecified</t>
        </is>
      </c>
      <c r="H275" s="66" t="inlineStr">
        <is>
          <t>미제공 (포털직접)</t>
        </is>
      </c>
    </row>
    <row r="276">
      <c r="A276" s="66" t="n">
        <v>275</v>
      </c>
      <c r="B276" s="67" t="inlineStr">
        <is>
          <t>campbell-lutyens</t>
        </is>
      </c>
      <c r="C276" s="67" t="inlineStr">
        <is>
          <t>Summer Analysts 2027</t>
        </is>
      </c>
      <c r="D276" s="67" t="inlineStr">
        <is>
          <t>Middle Market</t>
        </is>
      </c>
      <c r="E276" s="67" t="n"/>
      <c r="F276" s="66" t="inlineStr">
        <is>
          <t>N/A</t>
        </is>
      </c>
      <c r="G276" s="66" t="inlineStr">
        <is>
          <t>Rolling / Unspecified</t>
        </is>
      </c>
      <c r="H276" s="66" t="inlineStr">
        <is>
          <t>미제공 (포털직접)</t>
        </is>
      </c>
    </row>
    <row r="277">
      <c r="A277" s="66" t="n">
        <v>276</v>
      </c>
      <c r="B277" s="67" t="inlineStr">
        <is>
          <t>harrison-street</t>
        </is>
      </c>
      <c r="C277" s="67" t="inlineStr">
        <is>
          <t>Summer 2027 Intern</t>
        </is>
      </c>
      <c r="D277" s="67" t="inlineStr">
        <is>
          <t>Buy-Side</t>
        </is>
      </c>
      <c r="E277" s="67" t="n"/>
      <c r="F277" s="66" t="inlineStr">
        <is>
          <t>N/A</t>
        </is>
      </c>
      <c r="G277" s="66" t="inlineStr">
        <is>
          <t>Rolling / Unspecified</t>
        </is>
      </c>
      <c r="H277" s="66" t="inlineStr">
        <is>
          <t>미제공 (포털직접)</t>
        </is>
      </c>
    </row>
    <row r="278">
      <c r="A278" s="66" t="n">
        <v>277</v>
      </c>
      <c r="B278" s="67" t="inlineStr">
        <is>
          <t>ncr-atleos</t>
        </is>
      </c>
      <c r="C278" s="67" t="inlineStr">
        <is>
          <t>Finance Internship - Summer 2027 (12 Weeks)</t>
        </is>
      </c>
      <c r="D278" s="67" t="inlineStr">
        <is>
          <t>Miscellaneous</t>
        </is>
      </c>
      <c r="E278" s="67" t="n"/>
      <c r="F278" s="66" t="inlineStr">
        <is>
          <t>N/A</t>
        </is>
      </c>
      <c r="G278" s="66" t="inlineStr">
        <is>
          <t>Rolling / Unspecified</t>
        </is>
      </c>
      <c r="H278" s="66" t="inlineStr">
        <is>
          <t>미제공 (포털직접)</t>
        </is>
      </c>
    </row>
    <row r="279">
      <c r="A279" s="66" t="n">
        <v>278</v>
      </c>
      <c r="B279" s="67" t="inlineStr">
        <is>
          <t>jefferies</t>
        </is>
      </c>
      <c r="C279" s="67" t="inlineStr">
        <is>
          <t>2027 Risk Management Summer Internship Programme</t>
        </is>
      </c>
      <c r="D279" s="67" t="inlineStr">
        <is>
          <t>Middle Market</t>
        </is>
      </c>
      <c r="E279" s="67" t="n"/>
      <c r="F279" s="66" t="inlineStr">
        <is>
          <t>N/A</t>
        </is>
      </c>
      <c r="G279" s="66" t="inlineStr">
        <is>
          <t>2026-11-01T00:00:00.000Z</t>
        </is>
      </c>
      <c r="H279" s="68" t="inlineStr">
        <is>
          <t>지원 링크 ↗</t>
        </is>
      </c>
    </row>
    <row r="280">
      <c r="A280" s="66" t="n">
        <v>279</v>
      </c>
      <c r="B280" s="67" t="inlineStr">
        <is>
          <t>google</t>
        </is>
      </c>
      <c r="C280" s="67" t="inlineStr">
        <is>
          <t>Business Analyst Intern, 2027</t>
        </is>
      </c>
      <c r="D280" s="67" t="inlineStr">
        <is>
          <t>Miscellaneous</t>
        </is>
      </c>
      <c r="E280" s="67" t="n"/>
      <c r="F280" s="66" t="inlineStr">
        <is>
          <t>N/A</t>
        </is>
      </c>
      <c r="G280" s="66" t="inlineStr">
        <is>
          <t>Rolling / Unspecified</t>
        </is>
      </c>
      <c r="H280" s="66" t="inlineStr">
        <is>
          <t>미제공 (포털직접)</t>
        </is>
      </c>
    </row>
    <row r="281">
      <c r="A281" s="66" t="n">
        <v>280</v>
      </c>
      <c r="B281" s="67" t="inlineStr">
        <is>
          <t>munich-re</t>
        </is>
      </c>
      <c r="C281" s="67" t="inlineStr">
        <is>
          <t>Structured Credit Internship</t>
        </is>
      </c>
      <c r="D281" s="67" t="inlineStr">
        <is>
          <t>Pensions and Insurance</t>
        </is>
      </c>
      <c r="E281" s="67" t="n"/>
      <c r="F281" s="66" t="inlineStr">
        <is>
          <t>N/A</t>
        </is>
      </c>
      <c r="G281" s="66" t="inlineStr">
        <is>
          <t>Rolling / Unspecified</t>
        </is>
      </c>
      <c r="H281" s="66" t="inlineStr">
        <is>
          <t>미제공 (포털직접)</t>
        </is>
      </c>
    </row>
    <row r="282">
      <c r="A282" s="66" t="n">
        <v>281</v>
      </c>
      <c r="B282" s="67" t="inlineStr">
        <is>
          <t>javelin-global-commodities</t>
        </is>
      </c>
      <c r="C282" s="67" t="inlineStr">
        <is>
          <t>Summer Internship: Commodities Trading</t>
        </is>
      </c>
      <c r="D282" s="67" t="inlineStr">
        <is>
          <t>Trading and Quant</t>
        </is>
      </c>
      <c r="E282" s="67" t="n"/>
      <c r="F282" s="66" t="inlineStr">
        <is>
          <t>N/A</t>
        </is>
      </c>
      <c r="G282" s="66" t="inlineStr">
        <is>
          <t>Rolling / Unspecified</t>
        </is>
      </c>
      <c r="H282" s="66" t="inlineStr">
        <is>
          <t>미제공 (포털직접)</t>
        </is>
      </c>
    </row>
    <row r="283">
      <c r="A283" s="66" t="n">
        <v>282</v>
      </c>
      <c r="B283" s="67" t="inlineStr">
        <is>
          <t>moelis-co</t>
        </is>
      </c>
      <c r="C283" s="67" t="inlineStr">
        <is>
          <t>2027 Summer Analyst, Investment Banking</t>
        </is>
      </c>
      <c r="D283" s="67" t="inlineStr">
        <is>
          <t>Elite Boutique</t>
        </is>
      </c>
      <c r="E283" s="67" t="n"/>
      <c r="F283" s="66" t="inlineStr">
        <is>
          <t>N/A</t>
        </is>
      </c>
      <c r="G283" s="66" t="inlineStr">
        <is>
          <t>2026-09-25T00:00:00.000Z</t>
        </is>
      </c>
      <c r="H283" s="68" t="inlineStr">
        <is>
          <t>지원 링크 ↗</t>
        </is>
      </c>
    </row>
    <row r="284">
      <c r="A284" s="66" t="n">
        <v>283</v>
      </c>
      <c r="B284" s="67" t="inlineStr">
        <is>
          <t>e-on</t>
        </is>
      </c>
      <c r="C284" s="67" t="inlineStr">
        <is>
          <t>Quantitative Risk Intern</t>
        </is>
      </c>
      <c r="D284" s="67" t="inlineStr">
        <is>
          <t>Trading and Quant</t>
        </is>
      </c>
      <c r="E284" s="67" t="n"/>
      <c r="F284" s="66" t="inlineStr">
        <is>
          <t>N/A</t>
        </is>
      </c>
      <c r="G284" s="66" t="inlineStr">
        <is>
          <t>Rolling / Unspecified</t>
        </is>
      </c>
      <c r="H284" s="66" t="inlineStr">
        <is>
          <t>미제공 (포털직접)</t>
        </is>
      </c>
    </row>
    <row r="285">
      <c r="A285" s="66" t="n">
        <v>284</v>
      </c>
      <c r="B285" s="67" t="inlineStr">
        <is>
          <t>wintermute</t>
        </is>
      </c>
      <c r="C285" s="67" t="inlineStr">
        <is>
          <t>Quant Research Internship (Summer 2027)</t>
        </is>
      </c>
      <c r="D285" s="67" t="inlineStr">
        <is>
          <t>Trading and Quant</t>
        </is>
      </c>
      <c r="E285" s="67" t="n"/>
      <c r="F285" s="66" t="inlineStr">
        <is>
          <t>N/A</t>
        </is>
      </c>
      <c r="G285" s="66" t="inlineStr">
        <is>
          <t>Rolling / Unspecified</t>
        </is>
      </c>
      <c r="H285" s="66" t="inlineStr">
        <is>
          <t>미제공 (포털직접)</t>
        </is>
      </c>
    </row>
    <row r="286">
      <c r="A286" s="66" t="n">
        <v>285</v>
      </c>
      <c r="B286" s="67" t="inlineStr">
        <is>
          <t>man-group</t>
        </is>
      </c>
      <c r="C286" s="67" t="inlineStr">
        <is>
          <t>IDI Summer 2027 Internship</t>
        </is>
      </c>
      <c r="D286" s="67" t="inlineStr">
        <is>
          <t>Trading and Quant</t>
        </is>
      </c>
      <c r="E286" s="67" t="n"/>
      <c r="F286" s="66" t="inlineStr">
        <is>
          <t>N/A</t>
        </is>
      </c>
      <c r="G286" s="66" t="inlineStr">
        <is>
          <t>2026-09-30T00:00:00.000Z</t>
        </is>
      </c>
      <c r="H286" s="68" t="inlineStr">
        <is>
          <t>지원 링크 ↗</t>
        </is>
      </c>
    </row>
    <row r="287">
      <c r="A287" s="66" t="n">
        <v>286</v>
      </c>
      <c r="B287" s="67" t="inlineStr">
        <is>
          <t>bank-of-america</t>
        </is>
      </c>
      <c r="C287" s="67" t="inlineStr">
        <is>
          <t>Summer 2027 Analyst Programme</t>
        </is>
      </c>
      <c r="D287" s="67" t="inlineStr">
        <is>
          <t>Bulge Bracket</t>
        </is>
      </c>
      <c r="E287" s="67" t="n"/>
      <c r="F287" s="66" t="inlineStr">
        <is>
          <t>N/A</t>
        </is>
      </c>
      <c r="G287" s="66" t="inlineStr">
        <is>
          <t>2026-10-11T00:00:00.000Z</t>
        </is>
      </c>
      <c r="H287" s="68" t="inlineStr">
        <is>
          <t>지원 링크 ↗</t>
        </is>
      </c>
    </row>
    <row r="288">
      <c r="A288" s="66" t="n">
        <v>287</v>
      </c>
      <c r="B288" s="67" t="inlineStr">
        <is>
          <t>castleton-commodities-international</t>
        </is>
      </c>
      <c r="C288" s="67" t="inlineStr">
        <is>
          <t>Summer Analyst Internship Programme (Summer 2027)</t>
        </is>
      </c>
      <c r="D288" s="67" t="inlineStr">
        <is>
          <t>Trading and Quant</t>
        </is>
      </c>
      <c r="E288" s="67" t="n"/>
      <c r="F288" s="66" t="inlineStr">
        <is>
          <t>N/A</t>
        </is>
      </c>
      <c r="G288" s="66" t="inlineStr">
        <is>
          <t>Rolling / Unspecified</t>
        </is>
      </c>
      <c r="H288" s="68" t="inlineStr">
        <is>
          <t>지원 링크 ↗</t>
        </is>
      </c>
    </row>
    <row r="289">
      <c r="A289" s="66" t="n">
        <v>288</v>
      </c>
      <c r="B289" s="67" t="inlineStr">
        <is>
          <t>intriva</t>
        </is>
      </c>
      <c r="C289" s="67" t="inlineStr">
        <is>
          <t>Private Equity Intern</t>
        </is>
      </c>
      <c r="D289" s="67" t="inlineStr">
        <is>
          <t>Buy-Side</t>
        </is>
      </c>
      <c r="E289" s="67" t="n"/>
      <c r="F289" s="66" t="inlineStr">
        <is>
          <t>N/A</t>
        </is>
      </c>
      <c r="G289" s="66" t="inlineStr">
        <is>
          <t>Rolling / Unspecified</t>
        </is>
      </c>
      <c r="H289" s="66" t="inlineStr">
        <is>
          <t>미제공 (포털직접)</t>
        </is>
      </c>
    </row>
    <row r="290">
      <c r="A290" s="66" t="n">
        <v>289</v>
      </c>
      <c r="B290" s="67" t="inlineStr">
        <is>
          <t>shell</t>
        </is>
      </c>
      <c r="C290" s="67" t="inlineStr">
        <is>
          <t>Assessed Internship Programme 2027</t>
        </is>
      </c>
      <c r="D290" s="67" t="inlineStr">
        <is>
          <t>Trading and Quant, Promoted</t>
        </is>
      </c>
      <c r="E290" s="67" t="n"/>
      <c r="F290" s="66" t="inlineStr">
        <is>
          <t>N/A</t>
        </is>
      </c>
      <c r="G290" s="66" t="inlineStr">
        <is>
          <t>2027-01-31T00:00:00.000Z</t>
        </is>
      </c>
      <c r="H290" s="68" t="inlineStr">
        <is>
          <t>지원 링크 ↗</t>
        </is>
      </c>
    </row>
    <row r="291">
      <c r="A291" s="66" t="n">
        <v>290</v>
      </c>
      <c r="B291" s="67" t="inlineStr">
        <is>
          <t>fti-consulting</t>
        </is>
      </c>
      <c r="C291" s="67" t="inlineStr">
        <is>
          <t>2027 Summer Internship</t>
        </is>
      </c>
      <c r="D291" s="67" t="inlineStr">
        <is>
          <t>Consulting</t>
        </is>
      </c>
      <c r="E291" s="67" t="n"/>
      <c r="F291" s="66" t="inlineStr">
        <is>
          <t>N/A</t>
        </is>
      </c>
      <c r="G291" s="66" t="inlineStr">
        <is>
          <t>Rolling / Unspecified</t>
        </is>
      </c>
      <c r="H291" s="66" t="inlineStr">
        <is>
          <t>미제공 (포털직접)</t>
        </is>
      </c>
    </row>
    <row r="292">
      <c r="A292" s="66" t="n">
        <v>291</v>
      </c>
      <c r="B292" s="67" t="inlineStr">
        <is>
          <t>hsbc</t>
        </is>
      </c>
      <c r="C292" s="67" t="inlineStr">
        <is>
          <t>Summer Internship 2026-2027</t>
        </is>
      </c>
      <c r="D292" s="67" t="inlineStr">
        <is>
          <t>Middle Market</t>
        </is>
      </c>
      <c r="E292" s="67" t="n"/>
      <c r="F292" s="66" t="inlineStr">
        <is>
          <t>N/A</t>
        </is>
      </c>
      <c r="G292" s="66" t="inlineStr">
        <is>
          <t>Rolling / Unspecified</t>
        </is>
      </c>
      <c r="H292" s="66" t="inlineStr">
        <is>
          <t>미제공 (포털직접)</t>
        </is>
      </c>
    </row>
    <row r="293">
      <c r="A293" s="66" t="n">
        <v>292</v>
      </c>
      <c r="B293" s="67" t="inlineStr">
        <is>
          <t>liberty-global</t>
        </is>
      </c>
      <c r="C293" s="67" t="inlineStr">
        <is>
          <t>Finance Intern</t>
        </is>
      </c>
      <c r="D293" s="67" t="inlineStr">
        <is>
          <t>Miscellaneous</t>
        </is>
      </c>
      <c r="E293" s="67" t="n"/>
      <c r="F293" s="66" t="inlineStr">
        <is>
          <t>N/A</t>
        </is>
      </c>
      <c r="G293" s="66" t="inlineStr">
        <is>
          <t>Rolling / Unspecified</t>
        </is>
      </c>
      <c r="H293" s="66" t="inlineStr">
        <is>
          <t>미제공 (포털직접)</t>
        </is>
      </c>
    </row>
    <row r="294">
      <c r="A294" s="66" t="n">
        <v>293</v>
      </c>
      <c r="B294" s="67" t="inlineStr">
        <is>
          <t>cibc</t>
        </is>
      </c>
      <c r="C294" s="67" t="inlineStr">
        <is>
          <t>Summer Intern 2027</t>
        </is>
      </c>
      <c r="D294" s="67" t="inlineStr">
        <is>
          <t>Middle Market</t>
        </is>
      </c>
      <c r="E294" s="67" t="n"/>
      <c r="F294" s="66" t="inlineStr">
        <is>
          <t>N/A</t>
        </is>
      </c>
      <c r="G294" s="66" t="inlineStr">
        <is>
          <t>Rolling / Unspecified</t>
        </is>
      </c>
      <c r="H294" s="66" t="inlineStr">
        <is>
          <t>미제공 (포털직접)</t>
        </is>
      </c>
    </row>
    <row r="295">
      <c r="A295" s="66" t="n">
        <v>294</v>
      </c>
      <c r="B295" s="67" t="inlineStr">
        <is>
          <t>oxera</t>
        </is>
      </c>
      <c r="C295" s="67" t="inlineStr">
        <is>
          <t>Intern</t>
        </is>
      </c>
      <c r="D295" s="67" t="inlineStr">
        <is>
          <t>Consulting</t>
        </is>
      </c>
      <c r="E295" s="67" t="n"/>
      <c r="F295" s="66" t="inlineStr">
        <is>
          <t>N/A</t>
        </is>
      </c>
      <c r="G295" s="66" t="inlineStr">
        <is>
          <t>Rolling / Unspecified</t>
        </is>
      </c>
      <c r="H295" s="66" t="inlineStr">
        <is>
          <t>미제공 (포털직접)</t>
        </is>
      </c>
    </row>
    <row r="296">
      <c r="A296" s="66" t="n">
        <v>295</v>
      </c>
      <c r="B296" s="67" t="inlineStr">
        <is>
          <t>gsa-capital</t>
        </is>
      </c>
      <c r="C296" s="67" t="inlineStr">
        <is>
          <t>Quantitative Reseacher - Intern</t>
        </is>
      </c>
      <c r="D296" s="67" t="inlineStr">
        <is>
          <t>Trading and Quant</t>
        </is>
      </c>
      <c r="E296" s="67" t="n"/>
      <c r="F296" s="66" t="inlineStr">
        <is>
          <t>N/A</t>
        </is>
      </c>
      <c r="G296" s="66" t="inlineStr">
        <is>
          <t>Rolling / Unspecified</t>
        </is>
      </c>
      <c r="H296" s="68" t="inlineStr">
        <is>
          <t>지원 링크 ↗</t>
        </is>
      </c>
    </row>
    <row r="297">
      <c r="A297" s="66" t="n">
        <v>296</v>
      </c>
      <c r="B297" s="67" t="inlineStr">
        <is>
          <t>evercore</t>
        </is>
      </c>
      <c r="C297" s="67" t="inlineStr">
        <is>
          <t>Debt Advisory Summer Internship (2027)</t>
        </is>
      </c>
      <c r="D297" s="67" t="inlineStr">
        <is>
          <t>Elite Boutique</t>
        </is>
      </c>
      <c r="E297" s="67" t="n"/>
      <c r="F297" s="66" t="inlineStr">
        <is>
          <t>N/A</t>
        </is>
      </c>
      <c r="G297" s="66" t="inlineStr">
        <is>
          <t>Rolling / Unspecified</t>
        </is>
      </c>
      <c r="H297" s="68" t="inlineStr">
        <is>
          <t>지원 링크 ↗</t>
        </is>
      </c>
    </row>
    <row r="298">
      <c r="A298" s="66" t="n">
        <v>297</v>
      </c>
      <c r="B298" s="67" t="inlineStr">
        <is>
          <t>lockton</t>
        </is>
      </c>
      <c r="C298" s="67" t="inlineStr">
        <is>
          <t>Insurance Summer Intern</t>
        </is>
      </c>
      <c r="D298" s="67" t="inlineStr">
        <is>
          <t>Pensions and Insurance</t>
        </is>
      </c>
      <c r="E298" s="67" t="n"/>
      <c r="F298" s="66" t="inlineStr">
        <is>
          <t>N/A</t>
        </is>
      </c>
      <c r="G298" s="66" t="inlineStr">
        <is>
          <t>Rolling / Unspecified</t>
        </is>
      </c>
      <c r="H298" s="66" t="inlineStr">
        <is>
          <t>미제공 (포털직접)</t>
        </is>
      </c>
    </row>
    <row r="299">
      <c r="A299" s="66" t="n">
        <v>298</v>
      </c>
      <c r="B299" s="67" t="inlineStr">
        <is>
          <t>fenchurch-advisory</t>
        </is>
      </c>
      <c r="C299" s="67" t="inlineStr">
        <is>
          <t>2027 Summer Internship Programme</t>
        </is>
      </c>
      <c r="D299" s="67" t="inlineStr">
        <is>
          <t>Middle Market</t>
        </is>
      </c>
      <c r="E299" s="67" t="n"/>
      <c r="F299" s="66" t="inlineStr">
        <is>
          <t>N/A</t>
        </is>
      </c>
      <c r="G299" s="66" t="inlineStr">
        <is>
          <t>Rolling / Unspecified</t>
        </is>
      </c>
      <c r="H299" s="68" t="inlineStr">
        <is>
          <t>지원 링크 ↗</t>
        </is>
      </c>
    </row>
    <row r="300">
      <c r="A300" s="66" t="n">
        <v>299</v>
      </c>
      <c r="B300" s="67" t="inlineStr">
        <is>
          <t>general-atlantic</t>
        </is>
      </c>
      <c r="C300" s="67" t="inlineStr">
        <is>
          <t>2027 Summer Analyst</t>
        </is>
      </c>
      <c r="D300" s="67" t="inlineStr">
        <is>
          <t>Buy-Side</t>
        </is>
      </c>
      <c r="E300" s="67" t="n"/>
      <c r="F300" s="66" t="inlineStr">
        <is>
          <t>N/A</t>
        </is>
      </c>
      <c r="G300" s="66" t="inlineStr">
        <is>
          <t>Rolling / Unspecified</t>
        </is>
      </c>
      <c r="H300" s="66" t="inlineStr">
        <is>
          <t>미제공 (포털직접)</t>
        </is>
      </c>
    </row>
    <row r="301">
      <c r="A301" s="66" t="n">
        <v>300</v>
      </c>
      <c r="B301" s="67" t="inlineStr">
        <is>
          <t>mako-trading</t>
        </is>
      </c>
      <c r="C301" s="67" t="inlineStr">
        <is>
          <t>Summer Internship - Trading &amp; Technology</t>
        </is>
      </c>
      <c r="D301" s="67" t="inlineStr">
        <is>
          <t>Trading and Quant</t>
        </is>
      </c>
      <c r="E301" s="67" t="n"/>
      <c r="F301" s="66" t="inlineStr">
        <is>
          <t>N/A</t>
        </is>
      </c>
      <c r="G301" s="66" t="inlineStr">
        <is>
          <t>Rolling / Unspecified</t>
        </is>
      </c>
      <c r="H301" s="66" t="inlineStr">
        <is>
          <t>미제공 (포털직접)</t>
        </is>
      </c>
    </row>
    <row r="302">
      <c r="A302" s="66" t="n">
        <v>301</v>
      </c>
      <c r="B302" s="67" t="inlineStr">
        <is>
          <t>capital-one</t>
        </is>
      </c>
      <c r="C302" s="67" t="inlineStr">
        <is>
          <t>Strategy Analyst Summer Internship</t>
        </is>
      </c>
      <c r="D302" s="67" t="inlineStr">
        <is>
          <t>Miscellaneous</t>
        </is>
      </c>
      <c r="E302" s="67" t="n"/>
      <c r="F302" s="66" t="inlineStr">
        <is>
          <t>N/A</t>
        </is>
      </c>
      <c r="G302" s="66" t="inlineStr">
        <is>
          <t>2026-09-07T00:00:00.000Z</t>
        </is>
      </c>
      <c r="H302" s="68" t="inlineStr">
        <is>
          <t>지원 링크 ↗</t>
        </is>
      </c>
    </row>
    <row r="303">
      <c r="A303" s="66" t="n">
        <v>302</v>
      </c>
      <c r="B303" s="67" t="inlineStr">
        <is>
          <t>alantra</t>
        </is>
      </c>
      <c r="C303" s="67" t="inlineStr">
        <is>
          <t>FIG Summer Intern</t>
        </is>
      </c>
      <c r="D303" s="67" t="inlineStr">
        <is>
          <t>Middle Market</t>
        </is>
      </c>
      <c r="E303" s="67" t="n"/>
      <c r="F303" s="66" t="inlineStr">
        <is>
          <t>N/A</t>
        </is>
      </c>
      <c r="G303" s="66" t="inlineStr">
        <is>
          <t>2026-09-16T00:00:00.000Z</t>
        </is>
      </c>
      <c r="H303" s="68" t="inlineStr">
        <is>
          <t>지원 링크 ↗</t>
        </is>
      </c>
    </row>
    <row r="304">
      <c r="A304" s="66" t="n">
        <v>303</v>
      </c>
      <c r="B304" s="67" t="inlineStr">
        <is>
          <t>nomura</t>
        </is>
      </c>
      <c r="C304" s="67" t="inlineStr">
        <is>
          <t>2027 - Investment Banking - Client Financing Solutions - Summer Internship</t>
        </is>
      </c>
      <c r="D304" s="67" t="inlineStr">
        <is>
          <t>Middle Market</t>
        </is>
      </c>
      <c r="E304" s="67" t="n"/>
      <c r="F304" s="66" t="inlineStr">
        <is>
          <t>N/A</t>
        </is>
      </c>
      <c r="G304" s="66" t="inlineStr">
        <is>
          <t>Rolling / Unspecified</t>
        </is>
      </c>
      <c r="H304" s="68" t="inlineStr">
        <is>
          <t>지원 링크 ↗</t>
        </is>
      </c>
    </row>
    <row r="305">
      <c r="A305" s="66" t="n">
        <v>304</v>
      </c>
      <c r="B305" s="67" t="inlineStr">
        <is>
          <t>clarksons</t>
        </is>
      </c>
      <c r="C305" s="67" t="inlineStr">
        <is>
          <t>2027 Broking Summer Internship (shipping &amp; commodities)</t>
        </is>
      </c>
      <c r="D305" s="67" t="inlineStr">
        <is>
          <t>Trading and Quant</t>
        </is>
      </c>
      <c r="E305" s="67" t="n"/>
      <c r="F305" s="66" t="inlineStr">
        <is>
          <t>N/A</t>
        </is>
      </c>
      <c r="G305" s="66" t="inlineStr">
        <is>
          <t>Rolling / Unspecified</t>
        </is>
      </c>
      <c r="H305" s="66" t="inlineStr">
        <is>
          <t>미제공 (포털직접)</t>
        </is>
      </c>
    </row>
    <row r="306">
      <c r="A306" s="66" t="n">
        <v>305</v>
      </c>
      <c r="B306" s="67" t="inlineStr">
        <is>
          <t>aberdeen-group</t>
        </is>
      </c>
      <c r="C306" s="67" t="inlineStr">
        <is>
          <t>Summer Internship 2027</t>
        </is>
      </c>
      <c r="D306" s="67" t="inlineStr">
        <is>
          <t>Asset Management</t>
        </is>
      </c>
      <c r="E306" s="67" t="n"/>
      <c r="F306" s="66" t="inlineStr">
        <is>
          <t>N/A</t>
        </is>
      </c>
      <c r="G306" s="66" t="inlineStr">
        <is>
          <t>Rolling / Unspecified</t>
        </is>
      </c>
      <c r="H306" s="66" t="inlineStr">
        <is>
          <t>미제공 (포털직접)</t>
        </is>
      </c>
    </row>
    <row r="307">
      <c r="A307" s="66" t="n">
        <v>306</v>
      </c>
      <c r="B307" s="67" t="inlineStr">
        <is>
          <t>allianz-insurance</t>
        </is>
      </c>
      <c r="C307" s="67" t="inlineStr">
        <is>
          <t>Summer Intern 2027</t>
        </is>
      </c>
      <c r="D307" s="67" t="inlineStr">
        <is>
          <t>Miscellaneous</t>
        </is>
      </c>
      <c r="E307" s="67" t="n"/>
      <c r="F307" s="66" t="inlineStr">
        <is>
          <t>N/A</t>
        </is>
      </c>
      <c r="G307" s="66" t="inlineStr">
        <is>
          <t>Rolling / Unspecified</t>
        </is>
      </c>
      <c r="H307" s="66" t="inlineStr">
        <is>
          <t>미제공 (포털직접)</t>
        </is>
      </c>
    </row>
    <row r="308">
      <c r="A308" s="66" t="n">
        <v>307</v>
      </c>
      <c r="B308" s="67" t="inlineStr">
        <is>
          <t>cbre</t>
        </is>
      </c>
      <c r="C308" s="67" t="inlineStr">
        <is>
          <t>2027 Summer Internship</t>
        </is>
      </c>
      <c r="D308" s="67" t="inlineStr">
        <is>
          <t>Real Estate</t>
        </is>
      </c>
      <c r="E308" s="67" t="n"/>
      <c r="F308" s="66" t="inlineStr">
        <is>
          <t>N/A</t>
        </is>
      </c>
      <c r="G308" s="66" t="inlineStr">
        <is>
          <t>Rolling / Unspecified</t>
        </is>
      </c>
      <c r="H308" s="66" t="inlineStr">
        <is>
          <t>미제공 (포털직접)</t>
        </is>
      </c>
    </row>
    <row r="309">
      <c r="A309" s="66" t="n">
        <v>308</v>
      </c>
      <c r="B309" s="67" t="inlineStr">
        <is>
          <t>morgan-stanley</t>
        </is>
      </c>
      <c r="C309" s="67" t="inlineStr">
        <is>
          <t>2027 Investment Banking Summer Analyst Programme</t>
        </is>
      </c>
      <c r="D309" s="67" t="inlineStr">
        <is>
          <t>Bulge Bracket</t>
        </is>
      </c>
      <c r="E309" s="67" t="n"/>
      <c r="F309" s="66" t="inlineStr">
        <is>
          <t>N/A</t>
        </is>
      </c>
      <c r="G309" s="66" t="inlineStr">
        <is>
          <t>Rolling / Unspecified</t>
        </is>
      </c>
      <c r="H309" s="68" t="inlineStr">
        <is>
          <t>지원 링크 ↗</t>
        </is>
      </c>
    </row>
    <row r="310">
      <c r="A310" s="66" t="n">
        <v>309</v>
      </c>
      <c r="B310" s="67" t="inlineStr">
        <is>
          <t>teneo</t>
        </is>
      </c>
      <c r="C310" s="67" t="inlineStr">
        <is>
          <t>Financial Advisory Internship 2027</t>
        </is>
      </c>
      <c r="D310" s="67" t="inlineStr">
        <is>
          <t>Consulting</t>
        </is>
      </c>
      <c r="E310" s="67" t="n"/>
      <c r="F310" s="66" t="inlineStr">
        <is>
          <t>N/A</t>
        </is>
      </c>
      <c r="G310" s="66" t="inlineStr">
        <is>
          <t>Rolling / Unspecified</t>
        </is>
      </c>
      <c r="H310" s="66" t="inlineStr">
        <is>
          <t>미제공 (포털직접)</t>
        </is>
      </c>
    </row>
    <row r="311">
      <c r="A311" s="66" t="n">
        <v>310</v>
      </c>
      <c r="B311" s="67" t="inlineStr">
        <is>
          <t>dv-trading</t>
        </is>
      </c>
      <c r="C311" s="67" t="inlineStr">
        <is>
          <t>Trading Intern - Summer 2027</t>
        </is>
      </c>
      <c r="D311" s="67" t="inlineStr">
        <is>
          <t>Trading and Quant</t>
        </is>
      </c>
      <c r="E311" s="67" t="n"/>
      <c r="F311" s="66" t="inlineStr">
        <is>
          <t>N/A</t>
        </is>
      </c>
      <c r="G311" s="66" t="inlineStr">
        <is>
          <t>Rolling / Unspecified</t>
        </is>
      </c>
      <c r="H311" s="68" t="inlineStr">
        <is>
          <t>지원 링크 ↗</t>
        </is>
      </c>
    </row>
    <row r="312">
      <c r="A312" s="66" t="n">
        <v>311</v>
      </c>
      <c r="B312" s="67" t="inlineStr">
        <is>
          <t>houlihan-lokey</t>
        </is>
      </c>
      <c r="C312" s="67" t="inlineStr">
        <is>
          <t>Summer Financial Analyst - Manchester</t>
        </is>
      </c>
      <c r="D312" s="67" t="inlineStr">
        <is>
          <t>Middle Market</t>
        </is>
      </c>
      <c r="E312" s="67" t="n"/>
      <c r="F312" s="66" t="inlineStr">
        <is>
          <t>N/A</t>
        </is>
      </c>
      <c r="G312" s="66" t="inlineStr">
        <is>
          <t>Rolling / Unspecified</t>
        </is>
      </c>
      <c r="H312" s="66" t="inlineStr">
        <is>
          <t>미제공 (포털직접)</t>
        </is>
      </c>
    </row>
    <row r="313">
      <c r="A313" s="66" t="n">
        <v>312</v>
      </c>
      <c r="B313" s="67" t="inlineStr">
        <is>
          <t>imc-trading</t>
        </is>
      </c>
      <c r="C313" s="67" t="inlineStr">
        <is>
          <t>Women in Trading</t>
        </is>
      </c>
      <c r="D313" s="67" t="inlineStr">
        <is>
          <t>Trading and Quant</t>
        </is>
      </c>
      <c r="E313" s="67" t="n"/>
      <c r="F313" s="66" t="inlineStr">
        <is>
          <t>N/A</t>
        </is>
      </c>
      <c r="G313" s="66" t="inlineStr">
        <is>
          <t>Rolling / Unspecified</t>
        </is>
      </c>
      <c r="H313" s="66" t="inlineStr">
        <is>
          <t>미제공 (포털직접)</t>
        </is>
      </c>
    </row>
    <row r="314">
      <c r="A314" s="66" t="n">
        <v>313</v>
      </c>
      <c r="B314" s="67" t="inlineStr">
        <is>
          <t>stifel</t>
        </is>
      </c>
      <c r="C314" s="67" t="inlineStr">
        <is>
          <t>Investment Banking Summer Intern</t>
        </is>
      </c>
      <c r="D314" s="67" t="inlineStr">
        <is>
          <t>Middle Market</t>
        </is>
      </c>
      <c r="E314" s="67" t="n"/>
      <c r="F314" s="66" t="inlineStr">
        <is>
          <t>N/A</t>
        </is>
      </c>
      <c r="G314" s="66" t="inlineStr">
        <is>
          <t>Rolling / Unspecified</t>
        </is>
      </c>
      <c r="H314" s="66" t="inlineStr">
        <is>
          <t>미제공 (포털직접)</t>
        </is>
      </c>
    </row>
    <row r="315">
      <c r="A315" s="66" t="n">
        <v>314</v>
      </c>
      <c r="B315" s="67" t="inlineStr">
        <is>
          <t>isam</t>
        </is>
      </c>
      <c r="C315" s="67" t="inlineStr">
        <is>
          <t>Quantitative Research Internship</t>
        </is>
      </c>
      <c r="D315" s="67" t="inlineStr">
        <is>
          <t>Trading and Quant</t>
        </is>
      </c>
      <c r="E315" s="67" t="n"/>
      <c r="F315" s="66" t="inlineStr">
        <is>
          <t>N/A</t>
        </is>
      </c>
      <c r="G315" s="66" t="inlineStr">
        <is>
          <t>Rolling / Unspecified</t>
        </is>
      </c>
      <c r="H315" s="68" t="inlineStr">
        <is>
          <t>지원 링크 ↗</t>
        </is>
      </c>
    </row>
    <row r="316">
      <c r="A316" s="66" t="n">
        <v>315</v>
      </c>
      <c r="B316" s="67" t="inlineStr">
        <is>
          <t>capula-investment-management</t>
        </is>
      </c>
      <c r="C316" s="67" t="inlineStr">
        <is>
          <t>2028 Trading and Research Summer Internship</t>
        </is>
      </c>
      <c r="D316" s="67" t="inlineStr">
        <is>
          <t>Buy-Side</t>
        </is>
      </c>
      <c r="E316" s="67" t="n"/>
      <c r="F316" s="66" t="inlineStr">
        <is>
          <t>N/A</t>
        </is>
      </c>
      <c r="G316" s="66" t="inlineStr">
        <is>
          <t>Rolling / Unspecified</t>
        </is>
      </c>
      <c r="H316" s="66" t="inlineStr">
        <is>
          <t>미제공 (포털직접)</t>
        </is>
      </c>
    </row>
    <row r="317">
      <c r="A317" s="66" t="n">
        <v>316</v>
      </c>
      <c r="B317" s="67" t="inlineStr">
        <is>
          <t>ct-accountants-advisers</t>
        </is>
      </c>
      <c r="C317" s="67" t="inlineStr">
        <is>
          <t>Summer Placement Programme 2027</t>
        </is>
      </c>
      <c r="D317" s="67" t="inlineStr">
        <is>
          <t>Accounting and Audit</t>
        </is>
      </c>
      <c r="E317" s="67" t="n"/>
      <c r="F317" s="66" t="inlineStr">
        <is>
          <t>N/A</t>
        </is>
      </c>
      <c r="G317" s="66" t="inlineStr">
        <is>
          <t>Rolling / Unspecified</t>
        </is>
      </c>
      <c r="H317" s="66" t="inlineStr">
        <is>
          <t>미제공 (포털직접)</t>
        </is>
      </c>
    </row>
    <row r="318">
      <c r="A318" s="66" t="n">
        <v>317</v>
      </c>
      <c r="B318" s="67" t="inlineStr">
        <is>
          <t>cfo-insights</t>
        </is>
      </c>
      <c r="C318" s="67" t="inlineStr">
        <is>
          <t>Management Consulting Internship</t>
        </is>
      </c>
      <c r="D318" s="67" t="inlineStr">
        <is>
          <t>Consulting</t>
        </is>
      </c>
      <c r="E318" s="67" t="n"/>
      <c r="F318" s="66" t="inlineStr">
        <is>
          <t>N/A</t>
        </is>
      </c>
      <c r="G318" s="66" t="inlineStr">
        <is>
          <t>Rolling / Unspecified</t>
        </is>
      </c>
      <c r="H318" s="66" t="inlineStr">
        <is>
          <t>미제공 (포털직접)</t>
        </is>
      </c>
    </row>
    <row r="319">
      <c r="A319" s="66" t="n">
        <v>318</v>
      </c>
      <c r="B319" s="67" t="inlineStr">
        <is>
          <t>oak-hill-advisors</t>
        </is>
      </c>
      <c r="C319" s="67" t="inlineStr">
        <is>
          <t>Summer Analyst 2027</t>
        </is>
      </c>
      <c r="D319" s="67" t="inlineStr">
        <is>
          <t>Buy-Side</t>
        </is>
      </c>
      <c r="E319" s="67" t="n"/>
      <c r="F319" s="66" t="inlineStr">
        <is>
          <t>N/A</t>
        </is>
      </c>
      <c r="G319" s="66" t="inlineStr">
        <is>
          <t>Rolling / Unspecified</t>
        </is>
      </c>
      <c r="H319" s="66" t="inlineStr">
        <is>
          <t>미제공 (포털직접)</t>
        </is>
      </c>
    </row>
    <row r="320">
      <c r="A320" s="66" t="n">
        <v>319</v>
      </c>
      <c r="B320" s="67" t="inlineStr">
        <is>
          <t>credit-agricole</t>
        </is>
      </c>
      <c r="C320" s="67" t="inlineStr">
        <is>
          <t>Summer Internship Programme 2027</t>
        </is>
      </c>
      <c r="D320" s="67" t="inlineStr">
        <is>
          <t>Middle Market</t>
        </is>
      </c>
      <c r="E320" s="67" t="n"/>
      <c r="F320" s="66" t="inlineStr">
        <is>
          <t>N/A</t>
        </is>
      </c>
      <c r="G320" s="66" t="inlineStr">
        <is>
          <t>Rolling / Unspecified</t>
        </is>
      </c>
      <c r="H320" s="66" t="inlineStr">
        <is>
          <t>미제공 (포털직접)</t>
        </is>
      </c>
    </row>
    <row r="321">
      <c r="A321" s="66" t="n">
        <v>320</v>
      </c>
      <c r="B321" s="67" t="inlineStr">
        <is>
          <t>mizuho</t>
        </is>
      </c>
      <c r="C321" s="67" t="inlineStr">
        <is>
          <t>2027 Risk and Credit Risk Summer Internship</t>
        </is>
      </c>
      <c r="D321" s="67" t="inlineStr">
        <is>
          <t>Middle Market</t>
        </is>
      </c>
      <c r="E321" s="67" t="n"/>
      <c r="F321" s="66" t="inlineStr">
        <is>
          <t>N/A</t>
        </is>
      </c>
      <c r="G321" s="66" t="inlineStr">
        <is>
          <t>2026-10-05T00:00:00.000Z</t>
        </is>
      </c>
      <c r="H321" s="68" t="inlineStr">
        <is>
          <t>지원 링크 ↗</t>
        </is>
      </c>
    </row>
    <row r="322">
      <c r="A322" s="66" t="n">
        <v>321</v>
      </c>
      <c r="B322" s="67" t="inlineStr">
        <is>
          <t>pimco</t>
        </is>
      </c>
      <c r="C322" s="67" t="inlineStr">
        <is>
          <t>2027 Summer Intern - Product Analyst</t>
        </is>
      </c>
      <c r="D322" s="67" t="inlineStr">
        <is>
          <t>Asset Management</t>
        </is>
      </c>
      <c r="E322" s="67" t="n"/>
      <c r="F322" s="66" t="inlineStr">
        <is>
          <t>N/A</t>
        </is>
      </c>
      <c r="G322" s="66" t="inlineStr">
        <is>
          <t>Rolling / Unspecified</t>
        </is>
      </c>
      <c r="H322" s="68" t="inlineStr">
        <is>
          <t>지원 링크 ↗</t>
        </is>
      </c>
    </row>
    <row r="323">
      <c r="A323" s="66" t="n">
        <v>322</v>
      </c>
      <c r="B323" s="67" t="inlineStr">
        <is>
          <t>allied-world</t>
        </is>
      </c>
      <c r="C323" s="67" t="inlineStr">
        <is>
          <t>Actuarial Summer Internship</t>
        </is>
      </c>
      <c r="D323" s="67" t="inlineStr">
        <is>
          <t>Pensions and Insurance</t>
        </is>
      </c>
      <c r="E323" s="67" t="n"/>
      <c r="F323" s="66" t="inlineStr">
        <is>
          <t>N/A</t>
        </is>
      </c>
      <c r="G323" s="66" t="inlineStr">
        <is>
          <t>Rolling / Unspecified</t>
        </is>
      </c>
      <c r="H323" s="66" t="inlineStr">
        <is>
          <t>미제공 (포털직접)</t>
        </is>
      </c>
    </row>
    <row r="324">
      <c r="A324" s="66" t="n">
        <v>323</v>
      </c>
      <c r="B324" s="67" t="inlineStr">
        <is>
          <t>hiscox</t>
        </is>
      </c>
      <c r="C324" s="67" t="inlineStr">
        <is>
          <t>2027 Claims Summer Intern</t>
        </is>
      </c>
      <c r="D324" s="67" t="inlineStr">
        <is>
          <t>Miscellaneous</t>
        </is>
      </c>
      <c r="E324" s="67" t="n"/>
      <c r="F324" s="66" t="inlineStr">
        <is>
          <t>N/A</t>
        </is>
      </c>
      <c r="G324" s="66" t="inlineStr">
        <is>
          <t>Rolling / Unspecified</t>
        </is>
      </c>
      <c r="H324" s="66" t="inlineStr">
        <is>
          <t>미제공 (포털직접)</t>
        </is>
      </c>
    </row>
    <row r="325">
      <c r="A325" s="66" t="n">
        <v>324</v>
      </c>
      <c r="B325" s="67" t="inlineStr">
        <is>
          <t>marsh-mclennan</t>
        </is>
      </c>
      <c r="C325" s="67" t="inlineStr">
        <is>
          <t>Summer Internship 2027</t>
        </is>
      </c>
      <c r="D325" s="67" t="inlineStr">
        <is>
          <t>Accounting and Audit</t>
        </is>
      </c>
      <c r="E325" s="67" t="n"/>
      <c r="F325" s="66" t="inlineStr">
        <is>
          <t>N/A</t>
        </is>
      </c>
      <c r="G325" s="66" t="inlineStr">
        <is>
          <t>Rolling / Unspecified</t>
        </is>
      </c>
      <c r="H325" s="66" t="inlineStr">
        <is>
          <t>미제공 (포털직접)</t>
        </is>
      </c>
    </row>
    <row r="326">
      <c r="A326" s="66" t="n">
        <v>325</v>
      </c>
      <c r="B326" s="67" t="inlineStr">
        <is>
          <t>societe-generale</t>
        </is>
      </c>
      <c r="C326" s="67" t="inlineStr">
        <is>
          <t>Global Markets 2027 Summer Internship Programme</t>
        </is>
      </c>
      <c r="D326" s="67" t="inlineStr">
        <is>
          <t>Middle Market</t>
        </is>
      </c>
      <c r="E326" s="67" t="n"/>
      <c r="F326" s="66" t="inlineStr">
        <is>
          <t>N/A</t>
        </is>
      </c>
      <c r="G326" s="66" t="inlineStr">
        <is>
          <t>2026-10-25T00:00:00.000Z</t>
        </is>
      </c>
      <c r="H326" s="68" t="inlineStr">
        <is>
          <t>지원 링크 ↗</t>
        </is>
      </c>
    </row>
    <row r="327">
      <c r="A327" s="66" t="n">
        <v>326</v>
      </c>
      <c r="B327" s="67" t="inlineStr">
        <is>
          <t>wells-fargo</t>
        </is>
      </c>
      <c r="C327" s="67" t="inlineStr">
        <is>
          <t>EMEA Commercial Real Estate Summer Analyst</t>
        </is>
      </c>
      <c r="D327" s="67" t="inlineStr">
        <is>
          <t>Middle Market</t>
        </is>
      </c>
      <c r="E327" s="67" t="n"/>
      <c r="F327" s="66" t="inlineStr">
        <is>
          <t>N/A</t>
        </is>
      </c>
      <c r="G327" s="66" t="inlineStr">
        <is>
          <t>2026-10-31T00:00:00.000Z</t>
        </is>
      </c>
      <c r="H327" s="68" t="inlineStr">
        <is>
          <t>지원 링크 ↗</t>
        </is>
      </c>
    </row>
    <row r="328">
      <c r="A328" s="66" t="n">
        <v>327</v>
      </c>
      <c r="B328" s="67" t="inlineStr">
        <is>
          <t>isio</t>
        </is>
      </c>
      <c r="C328" s="67" t="inlineStr">
        <is>
          <t>2027 Internship Programme</t>
        </is>
      </c>
      <c r="D328" s="67" t="inlineStr">
        <is>
          <t>Pensions and Insurance</t>
        </is>
      </c>
      <c r="E328" s="67" t="n"/>
      <c r="F328" s="66" t="inlineStr">
        <is>
          <t>N/A</t>
        </is>
      </c>
      <c r="G328" s="66" t="inlineStr">
        <is>
          <t>Rolling / Unspecified</t>
        </is>
      </c>
      <c r="H328" s="66" t="inlineStr">
        <is>
          <t>미제공 (포털직접)</t>
        </is>
      </c>
    </row>
    <row r="329">
      <c r="A329" s="66" t="n">
        <v>328</v>
      </c>
      <c r="B329" s="67" t="inlineStr">
        <is>
          <t>quadrature</t>
        </is>
      </c>
      <c r="C329" s="67" t="inlineStr">
        <is>
          <t>Internship</t>
        </is>
      </c>
      <c r="D329" s="67" t="inlineStr">
        <is>
          <t>Trading and Quant</t>
        </is>
      </c>
      <c r="E329" s="67" t="n"/>
      <c r="F329" s="66" t="inlineStr">
        <is>
          <t>N/A</t>
        </is>
      </c>
      <c r="G329" s="66" t="inlineStr">
        <is>
          <t>Rolling / Unspecified</t>
        </is>
      </c>
      <c r="H329" s="66" t="inlineStr">
        <is>
          <t>미제공 (포털직접)</t>
        </is>
      </c>
    </row>
    <row r="330">
      <c r="A330" s="66" t="n">
        <v>329</v>
      </c>
      <c r="B330" s="67" t="inlineStr">
        <is>
          <t>gp-bullhound</t>
        </is>
      </c>
      <c r="C330" s="67" t="inlineStr">
        <is>
          <t>Future Stars - Work Experience &amp; Insight Programme</t>
        </is>
      </c>
      <c r="D330" s="67" t="inlineStr">
        <is>
          <t>Middle Market</t>
        </is>
      </c>
      <c r="E330" s="67" t="n"/>
      <c r="F330" s="66" t="inlineStr">
        <is>
          <t>N/A</t>
        </is>
      </c>
      <c r="G330" s="66" t="inlineStr">
        <is>
          <t>Rolling / Unspecified</t>
        </is>
      </c>
      <c r="H330" s="66" t="inlineStr">
        <is>
          <t>미제공 (포털직접)</t>
        </is>
      </c>
    </row>
    <row r="331">
      <c r="A331" s="66" t="n">
        <v>330</v>
      </c>
      <c r="B331" s="67" t="inlineStr">
        <is>
          <t>silvertide</t>
        </is>
      </c>
      <c r="C331" s="67" t="inlineStr">
        <is>
          <t>Sales Summer Analyst</t>
        </is>
      </c>
      <c r="D331" s="67" t="inlineStr">
        <is>
          <t>Trading and Quant</t>
        </is>
      </c>
      <c r="E331" s="67" t="n"/>
      <c r="F331" s="66" t="inlineStr">
        <is>
          <t>N/A</t>
        </is>
      </c>
      <c r="G331" s="66" t="inlineStr">
        <is>
          <t>Rolling / Unspecified</t>
        </is>
      </c>
      <c r="H331" s="66" t="inlineStr">
        <is>
          <t>미제공 (포털직접)</t>
        </is>
      </c>
    </row>
    <row r="332">
      <c r="A332" s="66" t="n">
        <v>331</v>
      </c>
      <c r="B332" s="67" t="inlineStr">
        <is>
          <t>millennium-management</t>
        </is>
      </c>
      <c r="C332" s="67" t="inlineStr">
        <is>
          <t>Millennium Investment Internship 2027</t>
        </is>
      </c>
      <c r="D332" s="67" t="inlineStr">
        <is>
          <t>Buy-Side</t>
        </is>
      </c>
      <c r="E332" s="67" t="n"/>
      <c r="F332" s="66" t="inlineStr">
        <is>
          <t>N/A</t>
        </is>
      </c>
      <c r="G332" s="66" t="inlineStr">
        <is>
          <t>2026-03-24T00:00:00.000Z</t>
        </is>
      </c>
      <c r="H332" s="68" t="inlineStr">
        <is>
          <t>지원 링크 ↗</t>
        </is>
      </c>
    </row>
    <row r="333">
      <c r="A333" s="66" t="n">
        <v>332</v>
      </c>
      <c r="B333" s="67" t="inlineStr">
        <is>
          <t>rokos-capital-management</t>
        </is>
      </c>
      <c r="C333" s="67" t="inlineStr">
        <is>
          <t>RCM Internship Programme 2027</t>
        </is>
      </c>
      <c r="D333" s="67" t="inlineStr">
        <is>
          <t>Buy-Side</t>
        </is>
      </c>
      <c r="E333" s="67" t="n"/>
      <c r="F333" s="66" t="inlineStr">
        <is>
          <t>N/A</t>
        </is>
      </c>
      <c r="G333" s="66" t="inlineStr">
        <is>
          <t>Rolling / Unspecified</t>
        </is>
      </c>
      <c r="H333" s="66" t="inlineStr">
        <is>
          <t>미제공 (포털직접)</t>
        </is>
      </c>
    </row>
    <row r="334">
      <c r="A334" s="66" t="n">
        <v>333</v>
      </c>
      <c r="B334" s="67" t="inlineStr">
        <is>
          <t>deutsche-bank</t>
        </is>
      </c>
      <c r="C334" s="67" t="inlineStr">
        <is>
          <t>Quantitative Internship Programme 2027</t>
        </is>
      </c>
      <c r="D334" s="67" t="inlineStr">
        <is>
          <t>Bulge Bracket</t>
        </is>
      </c>
      <c r="E334" s="67" t="n"/>
      <c r="F334" s="66" t="inlineStr">
        <is>
          <t>N/A</t>
        </is>
      </c>
      <c r="G334" s="66" t="inlineStr">
        <is>
          <t>2026-10-30T00:00:00.000Z</t>
        </is>
      </c>
      <c r="H334" s="68" t="inlineStr">
        <is>
          <t>지원 링크 ↗</t>
        </is>
      </c>
    </row>
    <row r="335">
      <c r="A335" s="66" t="n">
        <v>334</v>
      </c>
      <c r="B335" s="67" t="inlineStr">
        <is>
          <t>alliancebernstein</t>
        </is>
      </c>
      <c r="C335" s="67" t="inlineStr">
        <is>
          <t>Investments Summer Intern</t>
        </is>
      </c>
      <c r="D335" s="67" t="inlineStr">
        <is>
          <t>Asset Management</t>
        </is>
      </c>
      <c r="E335" s="67" t="n"/>
      <c r="F335" s="66" t="inlineStr">
        <is>
          <t>N/A</t>
        </is>
      </c>
      <c r="G335" s="66" t="inlineStr">
        <is>
          <t>Rolling / Unspecified</t>
        </is>
      </c>
      <c r="H335" s="66" t="inlineStr">
        <is>
          <t>미제공 (포털직접)</t>
        </is>
      </c>
    </row>
    <row r="336">
      <c r="A336" s="66" t="n">
        <v>335</v>
      </c>
      <c r="B336" s="67" t="inlineStr">
        <is>
          <t>willis-towers-watson</t>
        </is>
      </c>
      <c r="C336" s="67" t="inlineStr">
        <is>
          <t>2027 Actuarial Consultant Internship Programme</t>
        </is>
      </c>
      <c r="D336" s="67" t="inlineStr">
        <is>
          <t>Pensions and Insurance</t>
        </is>
      </c>
      <c r="E336" s="67" t="n"/>
      <c r="F336" s="66" t="inlineStr">
        <is>
          <t>N/A</t>
        </is>
      </c>
      <c r="G336" s="66" t="inlineStr">
        <is>
          <t>Rolling / Unspecified</t>
        </is>
      </c>
      <c r="H336" s="68" t="inlineStr">
        <is>
          <t>지원 링크 ↗</t>
        </is>
      </c>
    </row>
    <row r="337">
      <c r="A337" s="66" t="n">
        <v>336</v>
      </c>
      <c r="B337" s="67" t="inlineStr">
        <is>
          <t>brevan-howard</t>
        </is>
      </c>
      <c r="C337" s="67" t="inlineStr">
        <is>
          <t>2027 Summer Internship Program</t>
        </is>
      </c>
      <c r="D337" s="67" t="inlineStr">
        <is>
          <t>Buy-Side</t>
        </is>
      </c>
      <c r="E337" s="67" t="n"/>
      <c r="F337" s="66" t="inlineStr">
        <is>
          <t>N/A</t>
        </is>
      </c>
      <c r="G337" s="66" t="inlineStr">
        <is>
          <t>2027-04-30T00:00:00.000Z</t>
        </is>
      </c>
      <c r="H337" s="68" t="inlineStr">
        <is>
          <t>지원 링크 ↗</t>
        </is>
      </c>
    </row>
    <row r="338">
      <c r="A338" s="66" t="n">
        <v>337</v>
      </c>
      <c r="B338" s="67" t="inlineStr">
        <is>
          <t>principal-asset-management</t>
        </is>
      </c>
      <c r="C338" s="67" t="inlineStr">
        <is>
          <t>Intern</t>
        </is>
      </c>
      <c r="D338" s="67" t="inlineStr">
        <is>
          <t>Asset Management</t>
        </is>
      </c>
      <c r="E338" s="67" t="n"/>
      <c r="F338" s="66" t="inlineStr">
        <is>
          <t>N/A</t>
        </is>
      </c>
      <c r="G338" s="66" t="inlineStr">
        <is>
          <t>Rolling / Unspecified</t>
        </is>
      </c>
      <c r="H338" s="66" t="inlineStr">
        <is>
          <t>미제공 (포털직접)</t>
        </is>
      </c>
    </row>
    <row r="339">
      <c r="A339" s="66" t="n">
        <v>338</v>
      </c>
      <c r="B339" s="67" t="inlineStr">
        <is>
          <t>baringa</t>
        </is>
      </c>
      <c r="C339" s="67" t="inlineStr">
        <is>
          <t>UK 2027 Summer Internship</t>
        </is>
      </c>
      <c r="D339" s="67" t="inlineStr">
        <is>
          <t>Consulting</t>
        </is>
      </c>
      <c r="E339" s="67" t="n"/>
      <c r="F339" s="66" t="inlineStr">
        <is>
          <t>N/A</t>
        </is>
      </c>
      <c r="G339" s="66" t="inlineStr">
        <is>
          <t>Rolling / Unspecified</t>
        </is>
      </c>
      <c r="H339" s="66" t="inlineStr">
        <is>
          <t>미제공 (포털직접)</t>
        </is>
      </c>
    </row>
    <row r="340">
      <c r="A340" s="66" t="n">
        <v>339</v>
      </c>
      <c r="B340" s="67" t="inlineStr">
        <is>
          <t>kr8-advisory</t>
        </is>
      </c>
      <c r="C340" s="67" t="inlineStr">
        <is>
          <t>Business &amp; Capital Advisory (Intern)</t>
        </is>
      </c>
      <c r="D340" s="67" t="inlineStr">
        <is>
          <t>Middle Market</t>
        </is>
      </c>
      <c r="E340" s="67" t="n"/>
      <c r="F340" s="66" t="inlineStr">
        <is>
          <t>N/A</t>
        </is>
      </c>
      <c r="G340" s="66" t="inlineStr">
        <is>
          <t>Rolling / Unspecified</t>
        </is>
      </c>
      <c r="H340" s="66" t="inlineStr">
        <is>
          <t>미제공 (포털직접)</t>
        </is>
      </c>
    </row>
    <row r="341">
      <c r="A341" s="66" t="n">
        <v>340</v>
      </c>
      <c r="B341" s="67" t="inlineStr">
        <is>
          <t>frontier-economics</t>
        </is>
      </c>
      <c r="C341" s="67" t="inlineStr">
        <is>
          <t>2027 Economic Intern (Short-term)</t>
        </is>
      </c>
      <c r="D341" s="67" t="inlineStr">
        <is>
          <t>Miscellaneous</t>
        </is>
      </c>
      <c r="E341" s="67" t="n"/>
      <c r="F341" s="66" t="inlineStr">
        <is>
          <t>N/A</t>
        </is>
      </c>
      <c r="G341" s="66" t="inlineStr">
        <is>
          <t>Rolling / Unspecified</t>
        </is>
      </c>
      <c r="H341" s="66" t="inlineStr">
        <is>
          <t>미제공 (포털직접)</t>
        </is>
      </c>
    </row>
    <row r="342">
      <c r="A342" s="66" t="n">
        <v>341</v>
      </c>
      <c r="B342" s="67" t="inlineStr">
        <is>
          <t>stout</t>
        </is>
      </c>
      <c r="C342" s="67" t="inlineStr">
        <is>
          <t>2027 Summer Intern - Corporate Finance</t>
        </is>
      </c>
      <c r="D342" s="67" t="inlineStr">
        <is>
          <t>Middle Market</t>
        </is>
      </c>
      <c r="E342" s="67" t="n"/>
      <c r="F342" s="66" t="inlineStr">
        <is>
          <t>N/A</t>
        </is>
      </c>
      <c r="G342" s="66" t="inlineStr">
        <is>
          <t>Rolling / Unspecified</t>
        </is>
      </c>
      <c r="H342" s="66" t="inlineStr">
        <is>
          <t>미제공 (포털직접)</t>
        </is>
      </c>
    </row>
    <row r="343">
      <c r="A343" s="66" t="n">
        <v>342</v>
      </c>
      <c r="B343" s="67" t="inlineStr">
        <is>
          <t>nfu-mutual</t>
        </is>
      </c>
      <c r="C343" s="67" t="inlineStr">
        <is>
          <t>2027 Summer Internship Programme</t>
        </is>
      </c>
      <c r="D343" s="67" t="inlineStr">
        <is>
          <t>Pensions and Insurance</t>
        </is>
      </c>
      <c r="E343" s="67" t="n"/>
      <c r="F343" s="66" t="inlineStr">
        <is>
          <t>N/A</t>
        </is>
      </c>
      <c r="G343" s="66" t="inlineStr">
        <is>
          <t>Rolling / Unspecified</t>
        </is>
      </c>
      <c r="H343" s="66" t="inlineStr">
        <is>
          <t>미제공 (포털직접)</t>
        </is>
      </c>
    </row>
    <row r="344">
      <c r="A344" s="66" t="n">
        <v>343</v>
      </c>
      <c r="B344" s="67" t="inlineStr">
        <is>
          <t>bmll</t>
        </is>
      </c>
      <c r="C344" s="67" t="inlineStr">
        <is>
          <t>Junior Quantitative Analyst Internship - Summer 2027</t>
        </is>
      </c>
      <c r="D344" s="67" t="inlineStr">
        <is>
          <t>Trading and Quant</t>
        </is>
      </c>
      <c r="E344" s="67" t="n"/>
      <c r="F344" s="66" t="inlineStr">
        <is>
          <t>N/A</t>
        </is>
      </c>
      <c r="G344" s="66" t="inlineStr">
        <is>
          <t>Rolling / Unspecified</t>
        </is>
      </c>
      <c r="H344" s="66" t="inlineStr">
        <is>
          <t>미제공 (포털직접)</t>
        </is>
      </c>
    </row>
    <row r="345">
      <c r="A345" s="66" t="n">
        <v>344</v>
      </c>
      <c r="B345" s="67" t="inlineStr">
        <is>
          <t>mufg</t>
        </is>
      </c>
      <c r="C345" s="67" t="inlineStr">
        <is>
          <t>2027 Summer Analyst Programme: Credit Sales and Trading</t>
        </is>
      </c>
      <c r="D345" s="67" t="inlineStr">
        <is>
          <t>Middle Market</t>
        </is>
      </c>
      <c r="E345" s="67" t="n"/>
      <c r="F345" s="66" t="inlineStr">
        <is>
          <t>N/A</t>
        </is>
      </c>
      <c r="G345" s="66" t="inlineStr">
        <is>
          <t>2026-11-29T00:00:00.000Z</t>
        </is>
      </c>
      <c r="H345" s="68" t="inlineStr">
        <is>
          <t>지원 링크 ↗</t>
        </is>
      </c>
    </row>
    <row r="346">
      <c r="A346" s="66" t="n">
        <v>345</v>
      </c>
      <c r="B346" s="67" t="inlineStr">
        <is>
          <t>lasalle</t>
        </is>
      </c>
      <c r="C346" s="67" t="inlineStr">
        <is>
          <t>2027 Summer Internship Programme</t>
        </is>
      </c>
      <c r="D346" s="67" t="inlineStr">
        <is>
          <t>Buy-Side</t>
        </is>
      </c>
      <c r="E346" s="67" t="n"/>
      <c r="F346" s="66" t="inlineStr">
        <is>
          <t>N/A</t>
        </is>
      </c>
      <c r="G346" s="66" t="inlineStr">
        <is>
          <t>Rolling / Unspecified</t>
        </is>
      </c>
      <c r="H346" s="66" t="inlineStr">
        <is>
          <t>미제공 (포털직접)</t>
        </is>
      </c>
    </row>
    <row r="347">
      <c r="A347" s="66" t="n">
        <v>346</v>
      </c>
      <c r="B347" s="67" t="inlineStr">
        <is>
          <t>ryan</t>
        </is>
      </c>
      <c r="C347" s="67" t="inlineStr">
        <is>
          <t>Ryan Tax Internship Programme</t>
        </is>
      </c>
      <c r="D347" s="67" t="inlineStr">
        <is>
          <t>Accounting and Audit</t>
        </is>
      </c>
      <c r="E347" s="67" t="n"/>
      <c r="F347" s="66" t="inlineStr">
        <is>
          <t>N/A</t>
        </is>
      </c>
      <c r="G347" s="66" t="inlineStr">
        <is>
          <t>Rolling / Unspecified</t>
        </is>
      </c>
      <c r="H347" s="66" t="inlineStr">
        <is>
          <t>미제공 (포털직접)</t>
        </is>
      </c>
    </row>
    <row r="348">
      <c r="A348" s="66" t="n">
        <v>347</v>
      </c>
      <c r="B348" s="67" t="inlineStr">
        <is>
          <t>aspect-capital</t>
        </is>
      </c>
      <c r="C348" s="67" t="inlineStr">
        <is>
          <t>Quantitative Research Summer Intern 2027</t>
        </is>
      </c>
      <c r="D348" s="67" t="inlineStr">
        <is>
          <t>Trading and Quant</t>
        </is>
      </c>
      <c r="E348" s="67" t="n"/>
      <c r="F348" s="66" t="inlineStr">
        <is>
          <t>N/A</t>
        </is>
      </c>
      <c r="G348" s="66" t="inlineStr">
        <is>
          <t>Rolling / Unspecified</t>
        </is>
      </c>
      <c r="H348" s="66" t="inlineStr">
        <is>
          <t>미제공 (포털직접)</t>
        </is>
      </c>
    </row>
    <row r="349">
      <c r="A349" s="66" t="n">
        <v>348</v>
      </c>
      <c r="B349" s="67" t="inlineStr">
        <is>
          <t>greystar</t>
        </is>
      </c>
      <c r="C349" s="67" t="inlineStr">
        <is>
          <t>2027 Summer Internship</t>
        </is>
      </c>
      <c r="D349" s="67" t="inlineStr">
        <is>
          <t>Real Estate, Buy-Side</t>
        </is>
      </c>
      <c r="E349" s="67" t="n"/>
      <c r="F349" s="66" t="inlineStr">
        <is>
          <t>N/A</t>
        </is>
      </c>
      <c r="G349" s="66" t="inlineStr">
        <is>
          <t>Rolling / Unspecified</t>
        </is>
      </c>
      <c r="H349" s="66" t="inlineStr">
        <is>
          <t>미제공 (포털직접)</t>
        </is>
      </c>
    </row>
    <row r="350">
      <c r="A350" s="66" t="n">
        <v>349</v>
      </c>
      <c r="B350" s="67" t="inlineStr">
        <is>
          <t>ryan-specialty</t>
        </is>
      </c>
      <c r="C350" s="67" t="inlineStr">
        <is>
          <t>Summer Underwriting Internship</t>
        </is>
      </c>
      <c r="D350" s="67" t="inlineStr">
        <is>
          <t>Pensions and Insurance</t>
        </is>
      </c>
      <c r="E350" s="67" t="n"/>
      <c r="F350" s="66" t="inlineStr">
        <is>
          <t>N/A</t>
        </is>
      </c>
      <c r="G350" s="66" t="inlineStr">
        <is>
          <t>Rolling / Unspecified</t>
        </is>
      </c>
      <c r="H350" s="66" t="inlineStr">
        <is>
          <t>미제공 (포털직접)</t>
        </is>
      </c>
    </row>
    <row r="351">
      <c r="A351" s="66" t="n">
        <v>350</v>
      </c>
      <c r="B351" s="67" t="inlineStr">
        <is>
          <t>menzies</t>
        </is>
      </c>
      <c r="C351" s="67" t="inlineStr">
        <is>
          <t>Summer Internship</t>
        </is>
      </c>
      <c r="D351" s="67" t="inlineStr">
        <is>
          <t>Accounting and Audit</t>
        </is>
      </c>
      <c r="E351" s="67" t="n"/>
      <c r="F351" s="66" t="inlineStr">
        <is>
          <t>N/A</t>
        </is>
      </c>
      <c r="G351" s="66" t="inlineStr">
        <is>
          <t>Rolling / Unspecified</t>
        </is>
      </c>
      <c r="H351" s="66" t="inlineStr">
        <is>
          <t>미제공 (포털직접)</t>
        </is>
      </c>
    </row>
    <row r="352">
      <c r="A352" s="66" t="n">
        <v>351</v>
      </c>
      <c r="B352" s="67" t="inlineStr">
        <is>
          <t>barings</t>
        </is>
      </c>
      <c r="C352" s="67" t="inlineStr">
        <is>
          <t>2027 Investment Management Summer Internship</t>
        </is>
      </c>
      <c r="D352" s="67" t="inlineStr">
        <is>
          <t>Asset Management</t>
        </is>
      </c>
      <c r="E352" s="67" t="n"/>
      <c r="F352" s="66" t="inlineStr">
        <is>
          <t>N/A</t>
        </is>
      </c>
      <c r="G352" s="66" t="inlineStr">
        <is>
          <t>Rolling / Unspecified</t>
        </is>
      </c>
      <c r="H352" s="68" t="inlineStr">
        <is>
          <t>지원 링크 ↗</t>
        </is>
      </c>
    </row>
    <row r="353">
      <c r="A353" s="66" t="n">
        <v>352</v>
      </c>
      <c r="B353" s="67" t="inlineStr">
        <is>
          <t>british-airways</t>
        </is>
      </c>
      <c r="C353" s="67" t="inlineStr">
        <is>
          <t>Summer Internship</t>
        </is>
      </c>
      <c r="D353" s="67" t="inlineStr">
        <is>
          <t>Miscellaneous</t>
        </is>
      </c>
      <c r="E353" s="67" t="n"/>
      <c r="F353" s="66" t="inlineStr">
        <is>
          <t>N/A</t>
        </is>
      </c>
      <c r="G353" s="66" t="inlineStr">
        <is>
          <t>Rolling / Unspecified</t>
        </is>
      </c>
      <c r="H353" s="66" t="inlineStr">
        <is>
          <t>미제공 (포털직접)</t>
        </is>
      </c>
    </row>
    <row r="354">
      <c r="A354" s="66" t="n">
        <v>353</v>
      </c>
      <c r="B354" s="67" t="inlineStr">
        <is>
          <t>copper-co</t>
        </is>
      </c>
      <c r="C354" s="67" t="inlineStr">
        <is>
          <t>Summer Internship 2027</t>
        </is>
      </c>
      <c r="D354" s="67" t="inlineStr">
        <is>
          <t>Miscellaneous</t>
        </is>
      </c>
      <c r="E354" s="67" t="n"/>
      <c r="F354" s="66" t="inlineStr">
        <is>
          <t>N/A</t>
        </is>
      </c>
      <c r="G354" s="66" t="inlineStr">
        <is>
          <t>Rolling / Unspecified</t>
        </is>
      </c>
      <c r="H354" s="66" t="inlineStr">
        <is>
          <t>미제공 (포털직접)</t>
        </is>
      </c>
    </row>
    <row r="355">
      <c r="A355" s="66" t="n">
        <v>354</v>
      </c>
      <c r="B355" s="67" t="inlineStr">
        <is>
          <t>caledonia-investments</t>
        </is>
      </c>
      <c r="C355" s="67" t="inlineStr">
        <is>
          <t>2027 Summer Internship</t>
        </is>
      </c>
      <c r="D355" s="67" t="inlineStr">
        <is>
          <t>Asset Management</t>
        </is>
      </c>
      <c r="E355" s="67" t="n"/>
      <c r="F355" s="66" t="inlineStr">
        <is>
          <t>N/A</t>
        </is>
      </c>
      <c r="G355" s="66" t="inlineStr">
        <is>
          <t>Rolling / Unspecified</t>
        </is>
      </c>
      <c r="H355" s="66" t="inlineStr">
        <is>
          <t>미제공 (포털직접)</t>
        </is>
      </c>
    </row>
    <row r="356">
      <c r="A356" s="66" t="n">
        <v>355</v>
      </c>
      <c r="B356" s="67" t="inlineStr">
        <is>
          <t>dws</t>
        </is>
      </c>
      <c r="C356" s="67" t="inlineStr">
        <is>
          <t>2027 Summer Internships</t>
        </is>
      </c>
      <c r="D356" s="67" t="inlineStr">
        <is>
          <t>Asset Management</t>
        </is>
      </c>
      <c r="E356" s="67" t="n"/>
      <c r="F356" s="66" t="inlineStr">
        <is>
          <t>N/A</t>
        </is>
      </c>
      <c r="G356" s="66" t="inlineStr">
        <is>
          <t>Rolling / Unspecified</t>
        </is>
      </c>
      <c r="H356" s="66" t="inlineStr">
        <is>
          <t>미제공 (포털직접)</t>
        </is>
      </c>
    </row>
    <row r="357">
      <c r="A357" s="66" t="n">
        <v>356</v>
      </c>
      <c r="B357" s="67" t="inlineStr">
        <is>
          <t>dimensional-fund-advisors</t>
        </is>
      </c>
      <c r="C357" s="67" t="inlineStr">
        <is>
          <t>Investment Research - Summer Intern 2027</t>
        </is>
      </c>
      <c r="D357" s="67" t="inlineStr">
        <is>
          <t>Asset Management</t>
        </is>
      </c>
      <c r="E357" s="67" t="n"/>
      <c r="F357" s="66" t="inlineStr">
        <is>
          <t>N/A</t>
        </is>
      </c>
      <c r="G357" s="66" t="inlineStr">
        <is>
          <t>Rolling / Unspecified</t>
        </is>
      </c>
      <c r="H357" s="66" t="inlineStr">
        <is>
          <t>미제공 (포털직접)</t>
        </is>
      </c>
    </row>
    <row r="358">
      <c r="A358" s="66" t="n">
        <v>357</v>
      </c>
      <c r="B358" s="67" t="inlineStr">
        <is>
          <t>markel</t>
        </is>
      </c>
      <c r="C358" s="67" t="inlineStr">
        <is>
          <t>2027 Summer Internship Programme</t>
        </is>
      </c>
      <c r="D358" s="67" t="inlineStr">
        <is>
          <t>Pensions and Insurance</t>
        </is>
      </c>
      <c r="E358" s="67" t="n"/>
      <c r="F358" s="66" t="inlineStr">
        <is>
          <t>N/A</t>
        </is>
      </c>
      <c r="G358" s="66" t="inlineStr">
        <is>
          <t>Rolling / Unspecified</t>
        </is>
      </c>
      <c r="H358" s="66" t="inlineStr">
        <is>
          <t>미제공 (포털직접)</t>
        </is>
      </c>
    </row>
    <row r="359">
      <c r="A359" s="66" t="n">
        <v>358</v>
      </c>
      <c r="B359" s="67" t="inlineStr">
        <is>
          <t>arch-insurance-international</t>
        </is>
      </c>
      <c r="C359" s="67" t="inlineStr">
        <is>
          <t>2027 Summer Internship</t>
        </is>
      </c>
      <c r="D359" s="67" t="inlineStr">
        <is>
          <t>Pensions and Insurance</t>
        </is>
      </c>
      <c r="E359" s="67" t="n"/>
      <c r="F359" s="66" t="inlineStr">
        <is>
          <t>N/A</t>
        </is>
      </c>
      <c r="G359" s="66" t="inlineStr">
        <is>
          <t>Rolling / Unspecified</t>
        </is>
      </c>
      <c r="H359" s="66" t="inlineStr">
        <is>
          <t>미제공 (포털직접)</t>
        </is>
      </c>
    </row>
    <row r="360">
      <c r="A360" s="66" t="n">
        <v>359</v>
      </c>
      <c r="B360" s="67" t="inlineStr">
        <is>
          <t>investec</t>
        </is>
      </c>
      <c r="C360" s="67" t="inlineStr">
        <is>
          <t>Summer Internship 2027</t>
        </is>
      </c>
      <c r="D360" s="67" t="inlineStr">
        <is>
          <t>Middle Market</t>
        </is>
      </c>
      <c r="E360" s="67" t="n"/>
      <c r="F360" s="66" t="inlineStr">
        <is>
          <t>N/A</t>
        </is>
      </c>
      <c r="G360" s="66" t="inlineStr">
        <is>
          <t>Rolling / Unspecified</t>
        </is>
      </c>
      <c r="H360" s="66" t="inlineStr">
        <is>
          <t>미제공 (포털직접)</t>
        </is>
      </c>
    </row>
    <row r="361">
      <c r="A361" s="66" t="n">
        <v>360</v>
      </c>
      <c r="B361" s="67" t="inlineStr">
        <is>
          <t>virtu-financial</t>
        </is>
      </c>
      <c r="C361" s="67" t="inlineStr">
        <is>
          <t>2027 Internship - Quantitative Trading</t>
        </is>
      </c>
      <c r="D361" s="67" t="inlineStr">
        <is>
          <t>Trading and Quant</t>
        </is>
      </c>
      <c r="E361" s="67" t="n"/>
      <c r="F361" s="66" t="inlineStr">
        <is>
          <t>N/A</t>
        </is>
      </c>
      <c r="G361" s="66" t="inlineStr">
        <is>
          <t>Rolling / Unspecified</t>
        </is>
      </c>
      <c r="H361" s="68" t="inlineStr">
        <is>
          <t>지원 링크 ↗</t>
        </is>
      </c>
    </row>
    <row r="362">
      <c r="A362" s="66" t="n">
        <v>361</v>
      </c>
      <c r="B362" s="67" t="inlineStr">
        <is>
          <t>tide-insurance</t>
        </is>
      </c>
      <c r="C362" s="67" t="inlineStr">
        <is>
          <t>2027 Summer Placement</t>
        </is>
      </c>
      <c r="D362" s="67" t="inlineStr">
        <is>
          <t>Pensions and Insurance</t>
        </is>
      </c>
      <c r="E362" s="67" t="n"/>
      <c r="F362" s="66" t="inlineStr">
        <is>
          <t>N/A</t>
        </is>
      </c>
      <c r="G362" s="66" t="inlineStr">
        <is>
          <t>Rolling / Unspecified</t>
        </is>
      </c>
      <c r="H362" s="66" t="inlineStr">
        <is>
          <t>미제공 (포털직접)</t>
        </is>
      </c>
    </row>
    <row r="363">
      <c r="A363" s="66" t="n">
        <v>362</v>
      </c>
      <c r="B363" s="67" t="inlineStr">
        <is>
          <t>bdo-global</t>
        </is>
      </c>
      <c r="C363" s="67" t="inlineStr">
        <is>
          <t>2027 Summer Internship Programme</t>
        </is>
      </c>
      <c r="D363" s="67" t="inlineStr">
        <is>
          <t>Middle Market</t>
        </is>
      </c>
      <c r="E363" s="67" t="n"/>
      <c r="F363" s="66" t="inlineStr">
        <is>
          <t>N/A</t>
        </is>
      </c>
      <c r="G363" s="66" t="inlineStr">
        <is>
          <t>Rolling / Unspecified</t>
        </is>
      </c>
      <c r="H363" s="66" t="inlineStr">
        <is>
          <t>미제공 (포털직접)</t>
        </is>
      </c>
    </row>
    <row r="364">
      <c r="A364" s="66" t="n">
        <v>363</v>
      </c>
      <c r="B364" s="67" t="inlineStr">
        <is>
          <t>financial-conduct-authority</t>
        </is>
      </c>
      <c r="C364" s="67" t="inlineStr">
        <is>
          <t>2027 Summer Internship</t>
        </is>
      </c>
      <c r="D364" s="67" t="inlineStr">
        <is>
          <t>Miscellaneous</t>
        </is>
      </c>
      <c r="E364" s="67" t="n"/>
      <c r="F364" s="66" t="inlineStr">
        <is>
          <t>N/A</t>
        </is>
      </c>
      <c r="G364" s="66" t="inlineStr">
        <is>
          <t>Rolling / Unspecified</t>
        </is>
      </c>
      <c r="H364" s="66" t="inlineStr">
        <is>
          <t>미제공 (포털직접)</t>
        </is>
      </c>
    </row>
    <row r="365">
      <c r="A365" s="66" t="n">
        <v>364</v>
      </c>
      <c r="B365" s="67" t="inlineStr">
        <is>
          <t>macquarie-group</t>
        </is>
      </c>
      <c r="C365" s="67" t="inlineStr">
        <is>
          <t>2027 Commodities and Global Markets Summer Internship Programme</t>
        </is>
      </c>
      <c r="D365" s="67" t="inlineStr">
        <is>
          <t>Middle Market</t>
        </is>
      </c>
      <c r="E365" s="67" t="n"/>
      <c r="F365" s="66" t="inlineStr">
        <is>
          <t>N/A</t>
        </is>
      </c>
      <c r="G365" s="66" t="inlineStr">
        <is>
          <t>Rolling / Unspecified</t>
        </is>
      </c>
      <c r="H365" s="68" t="inlineStr">
        <is>
          <t>지원 링크 ↗</t>
        </is>
      </c>
    </row>
    <row r="366">
      <c r="A366" s="66" t="n">
        <v>365</v>
      </c>
      <c r="B366" s="67" t="inlineStr">
        <is>
          <t>wechat-pay</t>
        </is>
      </c>
      <c r="C366" s="67" t="inlineStr">
        <is>
          <t>Business Development Intern (Chinese speaking)</t>
        </is>
      </c>
      <c r="D366" s="67" t="inlineStr">
        <is>
          <t>Miscellaneous</t>
        </is>
      </c>
      <c r="E366" s="67" t="n"/>
      <c r="F366" s="66" t="inlineStr">
        <is>
          <t>N/A</t>
        </is>
      </c>
      <c r="G366" s="66" t="inlineStr">
        <is>
          <t>Rolling / Unspecified</t>
        </is>
      </c>
      <c r="H366" s="66" t="inlineStr">
        <is>
          <t>미제공 (포털직접)</t>
        </is>
      </c>
    </row>
    <row r="367">
      <c r="A367" s="66" t="n">
        <v>366</v>
      </c>
      <c r="B367" s="67" t="inlineStr">
        <is>
          <t>btg-pactual</t>
        </is>
      </c>
      <c r="C367" s="67" t="inlineStr">
        <is>
          <t>Summer Undergrad 2027</t>
        </is>
      </c>
      <c r="D367" s="67" t="inlineStr">
        <is>
          <t>Middle Market</t>
        </is>
      </c>
      <c r="E367" s="67" t="n"/>
      <c r="F367" s="66" t="inlineStr">
        <is>
          <t>N/A</t>
        </is>
      </c>
      <c r="G367" s="66" t="inlineStr">
        <is>
          <t>Rolling / Unspecified</t>
        </is>
      </c>
      <c r="H367" s="68" t="inlineStr">
        <is>
          <t>지원 링크 ↗</t>
        </is>
      </c>
    </row>
    <row r="368">
      <c r="A368" s="66" t="n">
        <v>367</v>
      </c>
      <c r="B368" s="67" t="inlineStr">
        <is>
          <t>zeus-capital</t>
        </is>
      </c>
      <c r="C368" s="67" t="inlineStr">
        <is>
          <t>Zeus Internship 2027</t>
        </is>
      </c>
      <c r="D368" s="67" t="inlineStr">
        <is>
          <t>Middle Market</t>
        </is>
      </c>
      <c r="E368" s="67" t="n"/>
      <c r="F368" s="66" t="inlineStr">
        <is>
          <t>N/A</t>
        </is>
      </c>
      <c r="G368" s="66" t="inlineStr">
        <is>
          <t>Rolling / Unspecified</t>
        </is>
      </c>
      <c r="H368" s="66" t="inlineStr">
        <is>
          <t>미제공 (포털직접)</t>
        </is>
      </c>
    </row>
    <row r="369">
      <c r="A369" s="66" t="n">
        <v>368</v>
      </c>
      <c r="B369" s="67" t="inlineStr">
        <is>
          <t>s-w</t>
        </is>
      </c>
      <c r="C369" s="67" t="inlineStr">
        <is>
          <t>Internship Programme - July 2027</t>
        </is>
      </c>
      <c r="D369" s="67" t="inlineStr">
        <is>
          <t>Accounting and Audit</t>
        </is>
      </c>
      <c r="E369" s="67" t="n"/>
      <c r="F369" s="66" t="inlineStr">
        <is>
          <t>N/A</t>
        </is>
      </c>
      <c r="G369" s="66" t="inlineStr">
        <is>
          <t>Rolling / Unspecified</t>
        </is>
      </c>
      <c r="H369" s="66" t="inlineStr">
        <is>
          <t>미제공 (포털직접)</t>
        </is>
      </c>
    </row>
    <row r="370">
      <c r="A370" s="66" t="n">
        <v>369</v>
      </c>
      <c r="B370" s="67" t="inlineStr">
        <is>
          <t>capula-investment-management</t>
        </is>
      </c>
      <c r="C370" s="67" t="inlineStr">
        <is>
          <t>Trading &amp; Research Summer Internship 2027</t>
        </is>
      </c>
      <c r="D370" s="67" t="inlineStr">
        <is>
          <t>Buy-Side</t>
        </is>
      </c>
      <c r="E370" s="67" t="n"/>
      <c r="F370" s="66" t="inlineStr">
        <is>
          <t>N/A</t>
        </is>
      </c>
      <c r="G370" s="66" t="inlineStr">
        <is>
          <t>Rolling / Unspecified</t>
        </is>
      </c>
      <c r="H370" s="68" t="inlineStr">
        <is>
          <t>지원 링크 ↗</t>
        </is>
      </c>
    </row>
    <row r="371">
      <c r="A371" s="66" t="n">
        <v>370</v>
      </c>
      <c r="B371" s="67" t="inlineStr">
        <is>
          <t>centrica</t>
        </is>
      </c>
      <c r="C371" s="67" t="inlineStr">
        <is>
          <t>Finance Summer Internship</t>
        </is>
      </c>
      <c r="D371" s="67" t="inlineStr">
        <is>
          <t>Miscellaneous</t>
        </is>
      </c>
      <c r="E371" s="67" t="n"/>
      <c r="F371" s="66" t="inlineStr">
        <is>
          <t>N/A</t>
        </is>
      </c>
      <c r="G371" s="66" t="inlineStr">
        <is>
          <t>Rolling / Unspecified</t>
        </is>
      </c>
      <c r="H371" s="66" t="inlineStr">
        <is>
          <t>미제공 (포털직접)</t>
        </is>
      </c>
    </row>
    <row r="372">
      <c r="A372" s="66" t="n">
        <v>371</v>
      </c>
      <c r="B372" s="67" t="inlineStr">
        <is>
          <t>mki-global-partners</t>
        </is>
      </c>
      <c r="C372" s="67" t="inlineStr">
        <is>
          <t>Summer Analyst (Event-Driven/Special Situations)</t>
        </is>
      </c>
      <c r="D372" s="67" t="inlineStr">
        <is>
          <t>Middle Market</t>
        </is>
      </c>
      <c r="E372" s="67" t="n"/>
      <c r="F372" s="66" t="inlineStr">
        <is>
          <t>N/A</t>
        </is>
      </c>
      <c r="G372" s="66" t="inlineStr">
        <is>
          <t>Rolling / Unspecified</t>
        </is>
      </c>
      <c r="H372" s="66" t="inlineStr">
        <is>
          <t>미제공 (포털직접)</t>
        </is>
      </c>
    </row>
    <row r="373">
      <c r="A373" s="66" t="n">
        <v>372</v>
      </c>
      <c r="B373" s="67" t="inlineStr">
        <is>
          <t>welltower</t>
        </is>
      </c>
      <c r="C373" s="67" t="inlineStr">
        <is>
          <t>2027 Summer Analyst - Real Estate Investments</t>
        </is>
      </c>
      <c r="D373" s="67" t="inlineStr">
        <is>
          <t>Buy-Side</t>
        </is>
      </c>
      <c r="E373" s="67" t="n"/>
      <c r="F373" s="66" t="inlineStr">
        <is>
          <t>N/A</t>
        </is>
      </c>
      <c r="G373" s="66" t="inlineStr">
        <is>
          <t>Rolling / Unspecified</t>
        </is>
      </c>
      <c r="H373" s="66" t="inlineStr">
        <is>
          <t>미제공 (포털직접)</t>
        </is>
      </c>
    </row>
    <row r="374">
      <c r="A374" s="66" t="n">
        <v>373</v>
      </c>
      <c r="B374" s="67" t="inlineStr">
        <is>
          <t>newton</t>
        </is>
      </c>
      <c r="C374" s="67" t="inlineStr">
        <is>
          <t>Summer Academy 2026/6</t>
        </is>
      </c>
      <c r="D374" s="67" t="inlineStr">
        <is>
          <t>Consulting</t>
        </is>
      </c>
      <c r="E374" s="67" t="n"/>
      <c r="F374" s="66" t="inlineStr">
        <is>
          <t>N/A</t>
        </is>
      </c>
      <c r="G374" s="66" t="inlineStr">
        <is>
          <t>Rolling / Unspecified</t>
        </is>
      </c>
      <c r="H374" s="66" t="inlineStr">
        <is>
          <t>미제공 (포털직접)</t>
        </is>
      </c>
    </row>
    <row r="375">
      <c r="A375" s="66" t="n">
        <v>374</v>
      </c>
      <c r="B375" s="67" t="inlineStr">
        <is>
          <t>waters-corporation</t>
        </is>
      </c>
      <c r="C375" s="67" t="inlineStr">
        <is>
          <t>M&amp;A and Strategic Finance, Summer Intern</t>
        </is>
      </c>
      <c r="D375" s="67" t="inlineStr">
        <is>
          <t>Miscellaneous</t>
        </is>
      </c>
      <c r="E375" s="67" t="n"/>
      <c r="F375" s="66" t="inlineStr">
        <is>
          <t>N/A</t>
        </is>
      </c>
      <c r="G375" s="66" t="inlineStr">
        <is>
          <t>Rolling / Unspecified</t>
        </is>
      </c>
      <c r="H375" s="66" t="inlineStr">
        <is>
          <t>미제공 (포털직접)</t>
        </is>
      </c>
    </row>
    <row r="376">
      <c r="A376" s="66" t="n">
        <v>375</v>
      </c>
      <c r="B376" s="67" t="inlineStr">
        <is>
          <t>galaxy</t>
        </is>
      </c>
      <c r="C376" s="67" t="inlineStr">
        <is>
          <t>2027 Summer Internship</t>
        </is>
      </c>
      <c r="D376" s="67" t="inlineStr">
        <is>
          <t>Trading and Quant, Middle Market</t>
        </is>
      </c>
      <c r="E376" s="67" t="n"/>
      <c r="F376" s="66" t="inlineStr">
        <is>
          <t>N/A</t>
        </is>
      </c>
      <c r="G376" s="66" t="inlineStr">
        <is>
          <t>Rolling / Unspecified</t>
        </is>
      </c>
      <c r="H376" s="66" t="inlineStr">
        <is>
          <t>미제공 (포털직접)</t>
        </is>
      </c>
    </row>
    <row r="377">
      <c r="A377" s="66" t="n">
        <v>376</v>
      </c>
      <c r="B377" s="67" t="inlineStr">
        <is>
          <t>putnam</t>
        </is>
      </c>
      <c r="C377" s="67" t="inlineStr">
        <is>
          <t>Summer Associate Internship</t>
        </is>
      </c>
      <c r="D377" s="67" t="inlineStr">
        <is>
          <t>Consulting</t>
        </is>
      </c>
      <c r="E377" s="67" t="n"/>
      <c r="F377" s="66" t="inlineStr">
        <is>
          <t>N/A</t>
        </is>
      </c>
      <c r="G377" s="66" t="inlineStr">
        <is>
          <t>Rolling / Unspecified</t>
        </is>
      </c>
      <c r="H377" s="66" t="inlineStr">
        <is>
          <t>미제공 (포털직접)</t>
        </is>
      </c>
    </row>
    <row r="378">
      <c r="A378" s="66" t="n">
        <v>377</v>
      </c>
      <c r="B378" s="67" t="inlineStr">
        <is>
          <t>exoduspoint</t>
        </is>
      </c>
      <c r="C378" s="67" t="inlineStr">
        <is>
          <t>Fixed Income Internship - Summer 2027</t>
        </is>
      </c>
      <c r="D378" s="67" t="inlineStr">
        <is>
          <t>Buy-Side</t>
        </is>
      </c>
      <c r="E378" s="67" t="n"/>
      <c r="F378" s="66" t="inlineStr">
        <is>
          <t>N/A</t>
        </is>
      </c>
      <c r="G378" s="66" t="inlineStr">
        <is>
          <t>Rolling / Unspecified</t>
        </is>
      </c>
      <c r="H378" s="66" t="inlineStr">
        <is>
          <t>미제공 (포털직접)</t>
        </is>
      </c>
    </row>
    <row r="379">
      <c r="A379" s="66" t="n">
        <v>378</v>
      </c>
      <c r="B379" s="67" t="inlineStr">
        <is>
          <t>synthesis</t>
        </is>
      </c>
      <c r="C379" s="67" t="inlineStr">
        <is>
          <t>Quantitative Research Intern (Summer 2027)</t>
        </is>
      </c>
      <c r="D379" s="67" t="inlineStr">
        <is>
          <t>Trading and Quant</t>
        </is>
      </c>
      <c r="E379" s="67" t="n"/>
      <c r="F379" s="66" t="inlineStr">
        <is>
          <t>N/A</t>
        </is>
      </c>
      <c r="G379" s="66" t="inlineStr">
        <is>
          <t>Rolling / Unspecified</t>
        </is>
      </c>
      <c r="H379" s="68" t="inlineStr">
        <is>
          <t>지원 링크 ↗</t>
        </is>
      </c>
    </row>
    <row r="380">
      <c r="A380" s="66" t="n">
        <v>379</v>
      </c>
      <c r="B380" s="67" t="inlineStr">
        <is>
          <t>pkf-smith-cooper</t>
        </is>
      </c>
      <c r="C380" s="67" t="inlineStr">
        <is>
          <t>Internship - Summer 2027</t>
        </is>
      </c>
      <c r="D380" s="67" t="inlineStr">
        <is>
          <t>Middle Market, Accounting and Audit</t>
        </is>
      </c>
      <c r="E380" s="67" t="n"/>
      <c r="F380" s="66" t="inlineStr">
        <is>
          <t>N/A</t>
        </is>
      </c>
      <c r="G380" s="66" t="inlineStr">
        <is>
          <t>Rolling / Unspecified</t>
        </is>
      </c>
      <c r="H380" s="66" t="inlineStr">
        <is>
          <t>미제공 (포털직접)</t>
        </is>
      </c>
    </row>
    <row r="381">
      <c r="A381" s="66" t="n">
        <v>380</v>
      </c>
      <c r="B381" s="67" t="inlineStr">
        <is>
          <t>fidelity-international</t>
        </is>
      </c>
      <c r="C381" s="67" t="inlineStr">
        <is>
          <t>Investment Directing Summer Internship 2027</t>
        </is>
      </c>
      <c r="D381" s="67" t="inlineStr">
        <is>
          <t>Asset Management</t>
        </is>
      </c>
      <c r="E381" s="67" t="n"/>
      <c r="F381" s="66" t="inlineStr">
        <is>
          <t>N/A</t>
        </is>
      </c>
      <c r="G381" s="66" t="inlineStr">
        <is>
          <t>2026-11-15T00:00:00.000Z</t>
        </is>
      </c>
      <c r="H381" s="68" t="inlineStr">
        <is>
          <t>지원 링크 ↗</t>
        </is>
      </c>
    </row>
    <row r="382">
      <c r="A382" s="66" t="n">
        <v>381</v>
      </c>
      <c r="B382" s="67" t="inlineStr">
        <is>
          <t>leerink-partners</t>
        </is>
      </c>
      <c r="C382" s="67" t="inlineStr">
        <is>
          <t>2027 Investment Banking Summer Analyst Program</t>
        </is>
      </c>
      <c r="D382" s="67" t="inlineStr">
        <is>
          <t>Middle Market</t>
        </is>
      </c>
      <c r="E382" s="67" t="n"/>
      <c r="F382" s="66" t="inlineStr">
        <is>
          <t>N/A</t>
        </is>
      </c>
      <c r="G382" s="66" t="inlineStr">
        <is>
          <t>Rolling / Unspecified</t>
        </is>
      </c>
      <c r="H382" s="66" t="inlineStr">
        <is>
          <t>미제공 (포털직접)</t>
        </is>
      </c>
    </row>
    <row r="383">
      <c r="A383" s="66" t="n">
        <v>382</v>
      </c>
      <c r="B383" s="67" t="inlineStr">
        <is>
          <t>arena-investors</t>
        </is>
      </c>
      <c r="C383" s="67" t="inlineStr">
        <is>
          <t>2027 Summer Investment Analyst</t>
        </is>
      </c>
      <c r="D383" s="67" t="inlineStr">
        <is>
          <t>Buy-Side</t>
        </is>
      </c>
      <c r="E383" s="67" t="n"/>
      <c r="F383" s="66" t="inlineStr">
        <is>
          <t>N/A</t>
        </is>
      </c>
      <c r="G383" s="66" t="inlineStr">
        <is>
          <t>Rolling / Unspecified</t>
        </is>
      </c>
      <c r="H383" s="66" t="inlineStr">
        <is>
          <t>미제공 (포털직접)</t>
        </is>
      </c>
    </row>
    <row r="384">
      <c r="A384" s="66" t="n">
        <v>383</v>
      </c>
      <c r="B384" s="67" t="inlineStr">
        <is>
          <t>fidelity-international</t>
        </is>
      </c>
      <c r="C384" s="67" t="inlineStr">
        <is>
          <t>Multi Asset Summer Internship 2027</t>
        </is>
      </c>
      <c r="D384" s="67" t="inlineStr">
        <is>
          <t>Asset Management</t>
        </is>
      </c>
      <c r="E384" s="67" t="n"/>
      <c r="F384" s="66" t="inlineStr">
        <is>
          <t>N/A</t>
        </is>
      </c>
      <c r="G384" s="66" t="inlineStr">
        <is>
          <t>2026-11-15T00:00:00.000Z</t>
        </is>
      </c>
      <c r="H384" s="68" t="inlineStr">
        <is>
          <t>지원 링크 ↗</t>
        </is>
      </c>
    </row>
    <row r="385">
      <c r="A385" s="66" t="n">
        <v>384</v>
      </c>
      <c r="B385" s="67" t="inlineStr">
        <is>
          <t>hines</t>
        </is>
      </c>
      <c r="C385" s="67" t="inlineStr">
        <is>
          <t>2026 Summer Analyst</t>
        </is>
      </c>
      <c r="D385" s="67" t="inlineStr">
        <is>
          <t>Asset Management</t>
        </is>
      </c>
      <c r="E385" s="67" t="n"/>
      <c r="F385" s="66" t="inlineStr">
        <is>
          <t>N/A</t>
        </is>
      </c>
      <c r="G385" s="66" t="inlineStr">
        <is>
          <t>Rolling / Unspecified</t>
        </is>
      </c>
      <c r="H385" s="68" t="inlineStr">
        <is>
          <t>지원 링크 ↗</t>
        </is>
      </c>
    </row>
    <row r="386">
      <c r="A386" s="66" t="n">
        <v>385</v>
      </c>
      <c r="B386" s="67" t="inlineStr">
        <is>
          <t>bae-systems</t>
        </is>
      </c>
      <c r="C386" s="67" t="inlineStr">
        <is>
          <t>Summer Intern</t>
        </is>
      </c>
      <c r="D386" s="67" t="inlineStr">
        <is>
          <t>Miscellaneous</t>
        </is>
      </c>
      <c r="E386" s="67" t="n"/>
      <c r="F386" s="66" t="inlineStr">
        <is>
          <t>N/A</t>
        </is>
      </c>
      <c r="G386" s="66" t="inlineStr">
        <is>
          <t>Rolling / Unspecified</t>
        </is>
      </c>
      <c r="H386" s="66" t="inlineStr">
        <is>
          <t>미제공 (포털직접)</t>
        </is>
      </c>
    </row>
    <row r="387">
      <c r="A387" s="66" t="n">
        <v>386</v>
      </c>
      <c r="B387" s="67" t="inlineStr">
        <is>
          <t>guggenheim-partners</t>
        </is>
      </c>
      <c r="C387" s="67" t="inlineStr">
        <is>
          <t>2027 Investment Banking Analyst Intern</t>
        </is>
      </c>
      <c r="D387" s="67" t="inlineStr">
        <is>
          <t>Middle Market</t>
        </is>
      </c>
      <c r="E387" s="67" t="n"/>
      <c r="F387" s="66" t="inlineStr">
        <is>
          <t>N/A</t>
        </is>
      </c>
      <c r="G387" s="66" t="inlineStr">
        <is>
          <t>Rolling / Unspecified</t>
        </is>
      </c>
      <c r="H387" s="68" t="inlineStr">
        <is>
          <t>지원 링크 ↗</t>
        </is>
      </c>
    </row>
    <row r="388">
      <c r="A388" s="66" t="n">
        <v>387</v>
      </c>
      <c r="B388" s="67" t="inlineStr">
        <is>
          <t>eastdil-secured</t>
        </is>
      </c>
      <c r="C388" s="67" t="inlineStr">
        <is>
          <t>2027 Summer Internship</t>
        </is>
      </c>
      <c r="D388" s="67" t="inlineStr">
        <is>
          <t>Middle Market</t>
        </is>
      </c>
      <c r="E388" s="67" t="n"/>
      <c r="F388" s="66" t="inlineStr">
        <is>
          <t>N/A</t>
        </is>
      </c>
      <c r="G388" s="66" t="inlineStr">
        <is>
          <t>2026-10-16T00:00:00.000Z</t>
        </is>
      </c>
      <c r="H388" s="68" t="inlineStr">
        <is>
          <t>지원 링크 ↗</t>
        </is>
      </c>
    </row>
    <row r="389">
      <c r="A389" s="66" t="n">
        <v>388</v>
      </c>
      <c r="B389" s="67" t="inlineStr">
        <is>
          <t>dc-advisory</t>
        </is>
      </c>
      <c r="C389" s="67" t="inlineStr">
        <is>
          <t>Summer Intern 2027 Programme</t>
        </is>
      </c>
      <c r="D389" s="67" t="inlineStr">
        <is>
          <t>Middle Market</t>
        </is>
      </c>
      <c r="E389" s="67" t="n"/>
      <c r="F389" s="66" t="inlineStr">
        <is>
          <t>N/A</t>
        </is>
      </c>
      <c r="G389" s="66" t="inlineStr">
        <is>
          <t>Rolling / Unspecified</t>
        </is>
      </c>
      <c r="H389" s="68" t="inlineStr">
        <is>
          <t>지원 링크 ↗</t>
        </is>
      </c>
    </row>
    <row r="390">
      <c r="A390" s="66" t="n">
        <v>389</v>
      </c>
      <c r="B390" s="67" t="inlineStr">
        <is>
          <t>wells-fargo</t>
        </is>
      </c>
      <c r="C390" s="67" t="inlineStr">
        <is>
          <t>EMEA Markets Summer Analyst</t>
        </is>
      </c>
      <c r="D390" s="67" t="inlineStr">
        <is>
          <t>Middle Market</t>
        </is>
      </c>
      <c r="E390" s="67" t="n"/>
      <c r="F390" s="66" t="inlineStr">
        <is>
          <t>N/A</t>
        </is>
      </c>
      <c r="G390" s="66" t="inlineStr">
        <is>
          <t>2026-10-31T00:00:00.000Z</t>
        </is>
      </c>
      <c r="H390" s="68" t="inlineStr">
        <is>
          <t>지원 링크 ↗</t>
        </is>
      </c>
    </row>
    <row r="391">
      <c r="A391" s="66" t="n">
        <v>390</v>
      </c>
      <c r="B391" s="67" t="inlineStr">
        <is>
          <t>wood-mackenzie</t>
        </is>
      </c>
      <c r="C391" s="67" t="inlineStr">
        <is>
          <t>Consulting Intern (June - August)</t>
        </is>
      </c>
      <c r="D391" s="67" t="inlineStr">
        <is>
          <t>Consulting</t>
        </is>
      </c>
      <c r="E391" s="67" t="n"/>
      <c r="F391" s="66" t="inlineStr">
        <is>
          <t>N/A</t>
        </is>
      </c>
      <c r="G391" s="66" t="inlineStr">
        <is>
          <t>Rolling / Unspecified</t>
        </is>
      </c>
      <c r="H391" s="66" t="inlineStr">
        <is>
          <t>미제공 (포털직접)</t>
        </is>
      </c>
    </row>
    <row r="392">
      <c r="A392" s="66" t="n">
        <v>391</v>
      </c>
      <c r="B392" s="67" t="inlineStr">
        <is>
          <t>uber</t>
        </is>
      </c>
      <c r="C392" s="67" t="inlineStr">
        <is>
          <t>2027 Business Development Intern</t>
        </is>
      </c>
      <c r="D392" s="67" t="inlineStr">
        <is>
          <t>Miscellaneous</t>
        </is>
      </c>
      <c r="E392" s="67" t="n"/>
      <c r="F392" s="66" t="inlineStr">
        <is>
          <t>N/A</t>
        </is>
      </c>
      <c r="G392" s="66" t="inlineStr">
        <is>
          <t>Rolling / Unspecified</t>
        </is>
      </c>
      <c r="H392" s="66" t="inlineStr">
        <is>
          <t>미제공 (포털직접)</t>
        </is>
      </c>
    </row>
    <row r="393">
      <c r="A393" s="66" t="n">
        <v>392</v>
      </c>
      <c r="B393" s="67" t="inlineStr">
        <is>
          <t>perella-weinberg-partners</t>
        </is>
      </c>
      <c r="C393" s="67" t="inlineStr">
        <is>
          <t>2027 Advisory Summer Analyst Programme</t>
        </is>
      </c>
      <c r="D393" s="67" t="inlineStr">
        <is>
          <t>Elite Boutique</t>
        </is>
      </c>
      <c r="E393" s="67" t="n"/>
      <c r="F393" s="66" t="inlineStr">
        <is>
          <t>N/A</t>
        </is>
      </c>
      <c r="G393" s="66" t="inlineStr">
        <is>
          <t>2026-10-01T00:00:00.000Z</t>
        </is>
      </c>
      <c r="H393" s="68" t="inlineStr">
        <is>
          <t>지원 링크 ↗</t>
        </is>
      </c>
    </row>
    <row r="394">
      <c r="A394" s="66" t="n">
        <v>393</v>
      </c>
      <c r="B394" s="67" t="inlineStr">
        <is>
          <t>jefferies</t>
        </is>
      </c>
      <c r="C394" s="67" t="inlineStr">
        <is>
          <t>2027 Quant Masters Summer Programme</t>
        </is>
      </c>
      <c r="D394" s="67" t="inlineStr">
        <is>
          <t>Middle Market</t>
        </is>
      </c>
      <c r="E394" s="67" t="n"/>
      <c r="F394" s="66" t="inlineStr">
        <is>
          <t>N/A</t>
        </is>
      </c>
      <c r="G394" s="66" t="inlineStr">
        <is>
          <t>2026-11-15T00:00:00.000Z</t>
        </is>
      </c>
      <c r="H394" s="68" t="inlineStr">
        <is>
          <t>지원 링크 ↗</t>
        </is>
      </c>
    </row>
    <row r="395">
      <c r="A395" s="66" t="n">
        <v>394</v>
      </c>
      <c r="B395" s="67" t="inlineStr">
        <is>
          <t>hamilton-insurance-group</t>
        </is>
      </c>
      <c r="C395" s="67" t="inlineStr">
        <is>
          <t>Hamilton Insurance Summer Internship</t>
        </is>
      </c>
      <c r="D395" s="67" t="inlineStr">
        <is>
          <t>Pensions and Insurance</t>
        </is>
      </c>
      <c r="E395" s="67" t="n"/>
      <c r="F395" s="66" t="inlineStr">
        <is>
          <t>N/A</t>
        </is>
      </c>
      <c r="G395" s="66" t="inlineStr">
        <is>
          <t>Rolling / Unspecified</t>
        </is>
      </c>
      <c r="H395" s="66" t="inlineStr">
        <is>
          <t>미제공 (포털직접)</t>
        </is>
      </c>
    </row>
    <row r="396">
      <c r="A396" s="66" t="n">
        <v>395</v>
      </c>
      <c r="B396" s="67" t="inlineStr">
        <is>
          <t>tesco</t>
        </is>
      </c>
      <c r="C396" s="67" t="inlineStr">
        <is>
          <t>Finance Internship</t>
        </is>
      </c>
      <c r="D396" s="67" t="inlineStr">
        <is>
          <t>Miscellaneous</t>
        </is>
      </c>
      <c r="E396" s="67" t="n"/>
      <c r="F396" s="66" t="inlineStr">
        <is>
          <t>N/A</t>
        </is>
      </c>
      <c r="G396" s="66" t="inlineStr">
        <is>
          <t>Rolling / Unspecified</t>
        </is>
      </c>
      <c r="H396" s="66" t="inlineStr">
        <is>
          <t>미제공 (포털직접)</t>
        </is>
      </c>
    </row>
    <row r="397">
      <c r="A397" s="66" t="n">
        <v>396</v>
      </c>
      <c r="B397" s="67" t="inlineStr">
        <is>
          <t>state-street</t>
        </is>
      </c>
      <c r="C397" s="67" t="inlineStr">
        <is>
          <t>eFX Summer Internship (10 Weeks)</t>
        </is>
      </c>
      <c r="D397" s="67" t="inlineStr">
        <is>
          <t>Trading and Quant</t>
        </is>
      </c>
      <c r="E397" s="67" t="n"/>
      <c r="F397" s="66" t="inlineStr">
        <is>
          <t>N/A</t>
        </is>
      </c>
      <c r="G397" s="66" t="inlineStr">
        <is>
          <t>Rolling / Unspecified</t>
        </is>
      </c>
      <c r="H397" s="66" t="inlineStr">
        <is>
          <t>미제공 (포털직접)</t>
        </is>
      </c>
    </row>
    <row r="398">
      <c r="A398" s="66" t="n">
        <v>397</v>
      </c>
      <c r="B398" s="67" t="inlineStr">
        <is>
          <t>cambridge-associates</t>
        </is>
      </c>
      <c r="C398" s="67" t="inlineStr">
        <is>
          <t>Investment Summer Analyst (Intern)</t>
        </is>
      </c>
      <c r="D398" s="67" t="inlineStr">
        <is>
          <t>Buy-Side</t>
        </is>
      </c>
      <c r="E398" s="67" t="n"/>
      <c r="F398" s="66" t="inlineStr">
        <is>
          <t>N/A</t>
        </is>
      </c>
      <c r="G398" s="66" t="inlineStr">
        <is>
          <t>Rolling / Unspecified</t>
        </is>
      </c>
      <c r="H398" s="66" t="inlineStr">
        <is>
          <t>미제공 (포털직접)</t>
        </is>
      </c>
    </row>
    <row r="399">
      <c r="A399" s="66" t="n">
        <v>398</v>
      </c>
      <c r="B399" s="67" t="inlineStr">
        <is>
          <t>cushman-wakefield</t>
        </is>
      </c>
      <c r="C399" s="67" t="inlineStr">
        <is>
          <t>Summer Internship 2027</t>
        </is>
      </c>
      <c r="D399" s="67" t="inlineStr">
        <is>
          <t>Real Estate</t>
        </is>
      </c>
      <c r="E399" s="67" t="n"/>
      <c r="F399" s="66" t="inlineStr">
        <is>
          <t>N/A</t>
        </is>
      </c>
      <c r="G399" s="66" t="inlineStr">
        <is>
          <t>Rolling / Unspecified</t>
        </is>
      </c>
      <c r="H399" s="66" t="inlineStr">
        <is>
          <t>미제공 (포털직접)</t>
        </is>
      </c>
    </row>
    <row r="400">
      <c r="A400" s="66" t="n">
        <v>399</v>
      </c>
      <c r="B400" s="67" t="inlineStr">
        <is>
          <t>maven-securities</t>
        </is>
      </c>
      <c r="C400" s="67" t="inlineStr">
        <is>
          <t>Trader Summer Internship 2027</t>
        </is>
      </c>
      <c r="D400" s="67" t="inlineStr">
        <is>
          <t>Trading and Quant</t>
        </is>
      </c>
      <c r="E400" s="67" t="n"/>
      <c r="F400" s="66" t="inlineStr">
        <is>
          <t>N/A</t>
        </is>
      </c>
      <c r="G400" s="66" t="inlineStr">
        <is>
          <t>2026-10-20T00:00:00.000Z</t>
        </is>
      </c>
      <c r="H400" s="68" t="inlineStr">
        <is>
          <t>지원 링크 ↗</t>
        </is>
      </c>
    </row>
    <row r="401">
      <c r="A401" s="66" t="n">
        <v>400</v>
      </c>
      <c r="B401" s="67" t="inlineStr">
        <is>
          <t>general-electric</t>
        </is>
      </c>
      <c r="C401" s="67" t="inlineStr">
        <is>
          <t>Capital Markets Intern</t>
        </is>
      </c>
      <c r="D401" s="67" t="inlineStr">
        <is>
          <t>Miscellaneous</t>
        </is>
      </c>
      <c r="E401" s="67" t="n"/>
      <c r="F401" s="66" t="inlineStr">
        <is>
          <t>N/A</t>
        </is>
      </c>
      <c r="G401" s="66" t="inlineStr">
        <is>
          <t>Rolling / Unspecified</t>
        </is>
      </c>
      <c r="H401" s="66" t="inlineStr">
        <is>
          <t>미제공 (포털직접)</t>
        </is>
      </c>
    </row>
    <row r="402">
      <c r="A402" s="66" t="n">
        <v>401</v>
      </c>
      <c r="B402" s="67" t="inlineStr">
        <is>
          <t>pjt-partners</t>
        </is>
      </c>
      <c r="C402" s="67" t="inlineStr">
        <is>
          <t>2027 Summer Analyst (Corporate Rotational)</t>
        </is>
      </c>
      <c r="D402" s="67" t="inlineStr">
        <is>
          <t>Elite Boutique</t>
        </is>
      </c>
      <c r="E402" s="67" t="n"/>
      <c r="F402" s="66" t="inlineStr">
        <is>
          <t>N/A</t>
        </is>
      </c>
      <c r="G402" s="66" t="inlineStr">
        <is>
          <t>2026-10-04T00:00:00.000Z</t>
        </is>
      </c>
      <c r="H402" s="68" t="inlineStr">
        <is>
          <t>지원 링크 ↗</t>
        </is>
      </c>
    </row>
    <row r="403">
      <c r="A403" s="66" t="n">
        <v>402</v>
      </c>
      <c r="B403" s="67" t="inlineStr">
        <is>
          <t>blackrock</t>
        </is>
      </c>
      <c r="C403" s="67" t="inlineStr">
        <is>
          <t>2027 Summer Internship Program - EMEA</t>
        </is>
      </c>
      <c r="D403" s="67" t="inlineStr">
        <is>
          <t>Asset Management</t>
        </is>
      </c>
      <c r="E403" s="67" t="n"/>
      <c r="F403" s="66" t="inlineStr">
        <is>
          <t>N/A</t>
        </is>
      </c>
      <c r="G403" s="66" t="inlineStr">
        <is>
          <t>2026-09-30T00:00:00.000Z</t>
        </is>
      </c>
      <c r="H403" s="68" t="inlineStr">
        <is>
          <t>지원 링크 ↗</t>
        </is>
      </c>
    </row>
    <row r="404">
      <c r="A404" s="66" t="n">
        <v>403</v>
      </c>
      <c r="B404" s="67" t="inlineStr">
        <is>
          <t>sky</t>
        </is>
      </c>
      <c r="C404" s="67" t="inlineStr">
        <is>
          <t>Summer Internship 2027</t>
        </is>
      </c>
      <c r="D404" s="67" t="inlineStr">
        <is>
          <t>Miscellaneous</t>
        </is>
      </c>
      <c r="E404" s="67" t="n"/>
      <c r="F404" s="66" t="inlineStr">
        <is>
          <t>N/A</t>
        </is>
      </c>
      <c r="G404" s="66" t="inlineStr">
        <is>
          <t>Rolling / Unspecified</t>
        </is>
      </c>
      <c r="H404" s="66" t="inlineStr">
        <is>
          <t>미제공 (포털직접)</t>
        </is>
      </c>
    </row>
    <row r="405">
      <c r="A405" s="66" t="n">
        <v>404</v>
      </c>
      <c r="B405" s="67" t="inlineStr">
        <is>
          <t>saltgate</t>
        </is>
      </c>
      <c r="C405" s="67" t="inlineStr">
        <is>
          <t>Summer Programme 2027</t>
        </is>
      </c>
      <c r="D405" s="67" t="inlineStr">
        <is>
          <t>Miscellaneous</t>
        </is>
      </c>
      <c r="E405" s="67" t="n"/>
      <c r="F405" s="66" t="inlineStr">
        <is>
          <t>N/A</t>
        </is>
      </c>
      <c r="G405" s="66" t="inlineStr">
        <is>
          <t>Rolling / Unspecified</t>
        </is>
      </c>
      <c r="H405" s="66" t="inlineStr">
        <is>
          <t>미제공 (포털직접)</t>
        </is>
      </c>
    </row>
    <row r="406">
      <c r="A406" s="66" t="n">
        <v>405</v>
      </c>
      <c r="B406" s="67" t="inlineStr">
        <is>
          <t>jefferies</t>
        </is>
      </c>
      <c r="C406" s="67" t="inlineStr">
        <is>
          <t>2027 Investment Banking Summer Internship Programme</t>
        </is>
      </c>
      <c r="D406" s="67" t="inlineStr">
        <is>
          <t>Middle Market</t>
        </is>
      </c>
      <c r="E406" s="67" t="n"/>
      <c r="F406" s="66" t="inlineStr">
        <is>
          <t>N/A</t>
        </is>
      </c>
      <c r="G406" s="66" t="inlineStr">
        <is>
          <t>2026-11-15T00:00:00.000Z</t>
        </is>
      </c>
      <c r="H406" s="68" t="inlineStr">
        <is>
          <t>지원 링크 ↗</t>
        </is>
      </c>
    </row>
    <row r="407">
      <c r="A407" s="66" t="n">
        <v>406</v>
      </c>
      <c r="B407" s="67" t="inlineStr">
        <is>
          <t>xtx-markets</t>
        </is>
      </c>
      <c r="C407" s="67" t="inlineStr">
        <is>
          <t>Risk - Summer Intern 2027</t>
        </is>
      </c>
      <c r="D407" s="67" t="inlineStr">
        <is>
          <t>Trading and Quant</t>
        </is>
      </c>
      <c r="E407" s="67" t="n"/>
      <c r="F407" s="66" t="inlineStr">
        <is>
          <t>N/A</t>
        </is>
      </c>
      <c r="G407" s="66" t="inlineStr">
        <is>
          <t>Rolling / Unspecified</t>
        </is>
      </c>
      <c r="H407" s="66" t="inlineStr">
        <is>
          <t>미제공 (포털직접)</t>
        </is>
      </c>
    </row>
    <row r="408">
      <c r="A408" s="66" t="n">
        <v>407</v>
      </c>
      <c r="B408" s="67" t="inlineStr">
        <is>
          <t>lendable</t>
        </is>
      </c>
      <c r="C408" s="67" t="inlineStr">
        <is>
          <t>Lendable</t>
        </is>
      </c>
      <c r="D408" s="67" t="inlineStr">
        <is>
          <t>Miscellaneous</t>
        </is>
      </c>
      <c r="E408" s="67" t="n"/>
      <c r="F408" s="66" t="inlineStr">
        <is>
          <t>N/A</t>
        </is>
      </c>
      <c r="G408" s="66" t="inlineStr">
        <is>
          <t>Rolling / Unspecified</t>
        </is>
      </c>
      <c r="H408" s="66" t="inlineStr">
        <is>
          <t>미제공 (포털직접)</t>
        </is>
      </c>
    </row>
    <row r="409">
      <c r="A409" s="66" t="n">
        <v>408</v>
      </c>
      <c r="B409" s="67" t="inlineStr">
        <is>
          <t>hudson-river-trading</t>
        </is>
      </c>
      <c r="C409" s="67" t="inlineStr">
        <is>
          <t>Quant Research &amp; Trading Internship - Summer 2027</t>
        </is>
      </c>
      <c r="D409" s="67" t="inlineStr">
        <is>
          <t>Trading and Quant</t>
        </is>
      </c>
      <c r="E409" s="67" t="n"/>
      <c r="F409" s="66" t="inlineStr">
        <is>
          <t>N/A</t>
        </is>
      </c>
      <c r="G409" s="66" t="inlineStr">
        <is>
          <t>Rolling / Unspecified</t>
        </is>
      </c>
      <c r="H409" s="68" t="inlineStr">
        <is>
          <t>지원 링크 ↗</t>
        </is>
      </c>
    </row>
    <row r="410">
      <c r="A410" s="66" t="n">
        <v>409</v>
      </c>
      <c r="B410" s="67" t="inlineStr">
        <is>
          <t>millennium-management</t>
        </is>
      </c>
      <c r="C410" s="67" t="inlineStr">
        <is>
          <t>2027 Non-Investment Summer Intern</t>
        </is>
      </c>
      <c r="D410" s="67" t="inlineStr">
        <is>
          <t>Buy-Side</t>
        </is>
      </c>
      <c r="E410" s="67" t="n"/>
      <c r="F410" s="66" t="inlineStr">
        <is>
          <t>N/A</t>
        </is>
      </c>
      <c r="G410" s="66" t="inlineStr">
        <is>
          <t>Rolling / Unspecified</t>
        </is>
      </c>
      <c r="H410" s="68" t="inlineStr">
        <is>
          <t>지원 링크 ↗</t>
        </is>
      </c>
    </row>
    <row r="411">
      <c r="A411" s="66" t="n">
        <v>410</v>
      </c>
      <c r="B411" s="67" t="inlineStr">
        <is>
          <t>da-vinci-trading</t>
        </is>
      </c>
      <c r="C411" s="67" t="inlineStr">
        <is>
          <t>Quant Trading Intern (May 2028)</t>
        </is>
      </c>
      <c r="D411" s="67" t="inlineStr">
        <is>
          <t>Trading and Quant</t>
        </is>
      </c>
      <c r="E411" s="67" t="n"/>
      <c r="F411" s="66" t="inlineStr">
        <is>
          <t>N/A</t>
        </is>
      </c>
      <c r="G411" s="66" t="inlineStr">
        <is>
          <t>Rolling / Unspecified</t>
        </is>
      </c>
      <c r="H411" s="66" t="inlineStr">
        <is>
          <t>미제공 (포털직접)</t>
        </is>
      </c>
    </row>
    <row r="412">
      <c r="A412" s="66" t="n">
        <v>411</v>
      </c>
      <c r="B412" s="67" t="inlineStr">
        <is>
          <t>lcp</t>
        </is>
      </c>
      <c r="C412" s="67" t="inlineStr">
        <is>
          <t>Consulting - Summer Internship 2027</t>
        </is>
      </c>
      <c r="D412" s="67" t="inlineStr">
        <is>
          <t>Pensions and Insurance</t>
        </is>
      </c>
      <c r="E412" s="67" t="n"/>
      <c r="F412" s="66" t="inlineStr">
        <is>
          <t>N/A</t>
        </is>
      </c>
      <c r="G412" s="66" t="inlineStr">
        <is>
          <t>Rolling / Unspecified</t>
        </is>
      </c>
      <c r="H412" s="66" t="inlineStr">
        <is>
          <t>미제공 (포털직접)</t>
        </is>
      </c>
    </row>
    <row r="413">
      <c r="A413" s="66" t="n">
        <v>412</v>
      </c>
      <c r="B413" s="67" t="inlineStr">
        <is>
          <t>mfs</t>
        </is>
      </c>
      <c r="C413" s="67" t="inlineStr">
        <is>
          <t>Equity Research Analyst Intern</t>
        </is>
      </c>
      <c r="D413" s="67" t="inlineStr">
        <is>
          <t>Asset Management</t>
        </is>
      </c>
      <c r="E413" s="67" t="n"/>
      <c r="F413" s="66" t="inlineStr">
        <is>
          <t>N/A</t>
        </is>
      </c>
      <c r="G413" s="66" t="inlineStr">
        <is>
          <t>Rolling / Unspecified</t>
        </is>
      </c>
      <c r="H413" s="66" t="inlineStr">
        <is>
          <t>미제공 (포털직접)</t>
        </is>
      </c>
    </row>
    <row r="414">
      <c r="A414" s="66" t="n">
        <v>413</v>
      </c>
      <c r="B414" s="67" t="inlineStr">
        <is>
          <t>aon</t>
        </is>
      </c>
      <c r="C414" s="67" t="inlineStr">
        <is>
          <t>Aon Summer Internship Programme 2027</t>
        </is>
      </c>
      <c r="D414" s="67" t="inlineStr">
        <is>
          <t>Pensions and Insurance</t>
        </is>
      </c>
      <c r="E414" s="67" t="n"/>
      <c r="F414" s="66" t="inlineStr">
        <is>
          <t>N/A</t>
        </is>
      </c>
      <c r="G414" s="66" t="inlineStr">
        <is>
          <t>Rolling / Unspecified</t>
        </is>
      </c>
      <c r="H414" s="66" t="inlineStr">
        <is>
          <t>미제공 (포털직접)</t>
        </is>
      </c>
    </row>
    <row r="415">
      <c r="A415" s="66" t="n">
        <v>414</v>
      </c>
      <c r="B415" s="67" t="inlineStr">
        <is>
          <t>raymond-james</t>
        </is>
      </c>
      <c r="C415" s="67" t="inlineStr">
        <is>
          <t>2027 Summer Analyst Programme</t>
        </is>
      </c>
      <c r="D415" s="67" t="inlineStr">
        <is>
          <t>Middle Market</t>
        </is>
      </c>
      <c r="E415" s="67" t="n"/>
      <c r="F415" s="66" t="inlineStr">
        <is>
          <t>N/A</t>
        </is>
      </c>
      <c r="G415" s="66" t="inlineStr">
        <is>
          <t>Rolling / Unspecified</t>
        </is>
      </c>
      <c r="H415" s="66" t="inlineStr">
        <is>
          <t>미제공 (포털직접)</t>
        </is>
      </c>
    </row>
    <row r="416">
      <c r="A416" s="66" t="n">
        <v>415</v>
      </c>
      <c r="B416" s="67" t="inlineStr">
        <is>
          <t>bcg</t>
        </is>
      </c>
      <c r="C416" s="67" t="inlineStr">
        <is>
          <t>Summer Associate, Internship</t>
        </is>
      </c>
      <c r="D416" s="67" t="inlineStr">
        <is>
          <t>Consulting</t>
        </is>
      </c>
      <c r="E416" s="67" t="n"/>
      <c r="F416" s="66" t="inlineStr">
        <is>
          <t>N/A</t>
        </is>
      </c>
      <c r="G416" s="66" t="inlineStr">
        <is>
          <t>Rolling / Unspecified</t>
        </is>
      </c>
      <c r="H416" s="66" t="inlineStr">
        <is>
          <t>미제공 (포털직접)</t>
        </is>
      </c>
    </row>
    <row r="417">
      <c r="A417" s="66" t="n">
        <v>416</v>
      </c>
      <c r="B417" s="67" t="inlineStr">
        <is>
          <t>mckinsey-company</t>
        </is>
      </c>
      <c r="C417" s="67" t="inlineStr">
        <is>
          <t>Business Analyst Intern</t>
        </is>
      </c>
      <c r="D417" s="67" t="inlineStr">
        <is>
          <t>Consulting</t>
        </is>
      </c>
      <c r="E417" s="67" t="n"/>
      <c r="F417" s="66" t="inlineStr">
        <is>
          <t>N/A</t>
        </is>
      </c>
      <c r="G417" s="66" t="inlineStr">
        <is>
          <t>Rolling / Unspecified</t>
        </is>
      </c>
      <c r="H417" s="68" t="inlineStr">
        <is>
          <t>지원 링크 ↗</t>
        </is>
      </c>
    </row>
    <row r="418">
      <c r="A418" s="66" t="n">
        <v>417</v>
      </c>
      <c r="B418" s="67" t="inlineStr">
        <is>
          <t>ares-management</t>
        </is>
      </c>
      <c r="C418" s="67" t="inlineStr">
        <is>
          <t>Summer Analyst Programme 2027</t>
        </is>
      </c>
      <c r="D418" s="67" t="inlineStr">
        <is>
          <t>Buy-Side</t>
        </is>
      </c>
      <c r="E418" s="67" t="n"/>
      <c r="F418" s="66" t="inlineStr">
        <is>
          <t>N/A</t>
        </is>
      </c>
      <c r="G418" s="66" t="inlineStr">
        <is>
          <t>Rolling / Unspecified</t>
        </is>
      </c>
      <c r="H418" s="68" t="inlineStr">
        <is>
          <t>지원 링크 ↗</t>
        </is>
      </c>
    </row>
    <row r="419">
      <c r="A419" s="66" t="n">
        <v>418</v>
      </c>
      <c r="B419" s="67" t="inlineStr">
        <is>
          <t>norges-bank</t>
        </is>
      </c>
      <c r="C419" s="67" t="inlineStr">
        <is>
          <t>Summer Internship 2027</t>
        </is>
      </c>
      <c r="D419" s="67" t="inlineStr">
        <is>
          <t>Asset Management</t>
        </is>
      </c>
      <c r="E419" s="67" t="n"/>
      <c r="F419" s="66" t="inlineStr">
        <is>
          <t>N/A</t>
        </is>
      </c>
      <c r="G419" s="66" t="inlineStr">
        <is>
          <t>Rolling / Unspecified</t>
        </is>
      </c>
      <c r="H419" s="66" t="inlineStr">
        <is>
          <t>미제공 (포털직접)</t>
        </is>
      </c>
    </row>
    <row r="420">
      <c r="A420" s="66" t="n">
        <v>419</v>
      </c>
      <c r="B420" s="67" t="inlineStr">
        <is>
          <t>aegon</t>
        </is>
      </c>
      <c r="C420" s="67" t="inlineStr">
        <is>
          <t>Actuarial Intern (Summer 2027)</t>
        </is>
      </c>
      <c r="D420" s="67" t="inlineStr">
        <is>
          <t>Pensions and Insurance</t>
        </is>
      </c>
      <c r="E420" s="67" t="n"/>
      <c r="F420" s="66" t="inlineStr">
        <is>
          <t>N/A</t>
        </is>
      </c>
      <c r="G420" s="66" t="inlineStr">
        <is>
          <t>Rolling / Unspecified</t>
        </is>
      </c>
      <c r="H420" s="66" t="inlineStr">
        <is>
          <t>미제공 (포털직접)</t>
        </is>
      </c>
    </row>
    <row r="421">
      <c r="A421" s="66" t="n">
        <v>420</v>
      </c>
      <c r="B421" s="67" t="inlineStr">
        <is>
          <t>flow-traders</t>
        </is>
      </c>
      <c r="C421" s="67" t="inlineStr">
        <is>
          <t>Summer Trading Internship</t>
        </is>
      </c>
      <c r="D421" s="67" t="inlineStr">
        <is>
          <t>Trading and Quant</t>
        </is>
      </c>
      <c r="E421" s="67" t="n"/>
      <c r="F421" s="66" t="inlineStr">
        <is>
          <t>N/A</t>
        </is>
      </c>
      <c r="G421" s="66" t="inlineStr">
        <is>
          <t>Rolling / Unspecified</t>
        </is>
      </c>
      <c r="H421" s="66" t="inlineStr">
        <is>
          <t>미제공 (포털직접)</t>
        </is>
      </c>
    </row>
    <row r="422">
      <c r="A422" s="66" t="n">
        <v>421</v>
      </c>
      <c r="B422" s="67" t="inlineStr">
        <is>
          <t>soros-fund-management</t>
        </is>
      </c>
      <c r="C422" s="67" t="inlineStr">
        <is>
          <t>Investment Intern - Summer 2027</t>
        </is>
      </c>
      <c r="D422" s="67" t="inlineStr">
        <is>
          <t>Asset Management</t>
        </is>
      </c>
      <c r="E422" s="67" t="n"/>
      <c r="F422" s="66" t="inlineStr">
        <is>
          <t>N/A</t>
        </is>
      </c>
      <c r="G422" s="66" t="inlineStr">
        <is>
          <t>Rolling / Unspecified</t>
        </is>
      </c>
      <c r="H422" s="66" t="inlineStr">
        <is>
          <t>미제공 (포털직접)</t>
        </is>
      </c>
    </row>
    <row r="423">
      <c r="A423" s="66" t="n">
        <v>422</v>
      </c>
      <c r="B423" s="67" t="inlineStr">
        <is>
          <t>astrazeneca</t>
        </is>
      </c>
      <c r="C423" s="67" t="inlineStr">
        <is>
          <t>Finance Planning &amp; Reporting Internship</t>
        </is>
      </c>
      <c r="D423" s="67" t="inlineStr">
        <is>
          <t>Miscellaneous</t>
        </is>
      </c>
      <c r="E423" s="67" t="n"/>
      <c r="F423" s="66" t="inlineStr">
        <is>
          <t>N/A</t>
        </is>
      </c>
      <c r="G423" s="66" t="inlineStr">
        <is>
          <t>Rolling / Unspecified</t>
        </is>
      </c>
      <c r="H423" s="66" t="inlineStr">
        <is>
          <t>미제공 (포털직접)</t>
        </is>
      </c>
    </row>
    <row r="424">
      <c r="A424" s="66" t="n">
        <v>423</v>
      </c>
      <c r="B424" s="67" t="inlineStr">
        <is>
          <t>smbc</t>
        </is>
      </c>
      <c r="C424" s="67" t="inlineStr">
        <is>
          <t>Summer Intern Programme 2027</t>
        </is>
      </c>
      <c r="D424" s="67" t="inlineStr">
        <is>
          <t>Middle Market</t>
        </is>
      </c>
      <c r="E424" s="67" t="n"/>
      <c r="F424" s="66" t="inlineStr">
        <is>
          <t>N/A</t>
        </is>
      </c>
      <c r="G424" s="66" t="inlineStr">
        <is>
          <t>2026-09-01T00:00:00.000Z</t>
        </is>
      </c>
      <c r="H424" s="68" t="inlineStr">
        <is>
          <t>지원 링크 ↗</t>
        </is>
      </c>
    </row>
    <row r="425">
      <c r="A425" s="66" t="n">
        <v>424</v>
      </c>
      <c r="B425" s="67" t="inlineStr">
        <is>
          <t>pjt-partners</t>
        </is>
      </c>
      <c r="C425" s="67" t="inlineStr">
        <is>
          <t>2027 Summer Analyst (PJT Park Hill - Private Capital Solutions)</t>
        </is>
      </c>
      <c r="D425" s="67" t="inlineStr">
        <is>
          <t>Elite Boutique</t>
        </is>
      </c>
      <c r="E425" s="67" t="n"/>
      <c r="F425" s="66" t="inlineStr">
        <is>
          <t>N/A</t>
        </is>
      </c>
      <c r="G425" s="66" t="inlineStr">
        <is>
          <t>2026-10-04T00:00:00.000Z</t>
        </is>
      </c>
      <c r="H425" s="68" t="inlineStr">
        <is>
          <t>지원 링크 ↗</t>
        </is>
      </c>
    </row>
    <row r="426">
      <c r="A426" s="66" t="n">
        <v>425</v>
      </c>
      <c r="B426" s="67" t="inlineStr">
        <is>
          <t>gpfs</t>
        </is>
      </c>
      <c r="C426" s="67" t="inlineStr">
        <is>
          <t>Accounting Internship - Summer 2027</t>
        </is>
      </c>
      <c r="D426" s="67" t="inlineStr">
        <is>
          <t>Accounting and Audit</t>
        </is>
      </c>
      <c r="E426" s="67" t="n"/>
      <c r="F426" s="66" t="inlineStr">
        <is>
          <t>N/A</t>
        </is>
      </c>
      <c r="G426" s="66" t="inlineStr">
        <is>
          <t>Rolling / Unspecified</t>
        </is>
      </c>
      <c r="H426" s="66" t="inlineStr">
        <is>
          <t>미제공 (포털직접)</t>
        </is>
      </c>
    </row>
    <row r="427">
      <c r="A427" s="66" t="n">
        <v>426</v>
      </c>
      <c r="B427" s="67" t="inlineStr">
        <is>
          <t>global-infrastructure-advisors</t>
        </is>
      </c>
      <c r="C427" s="67" t="inlineStr">
        <is>
          <t>Analyst / Analyst Internship</t>
        </is>
      </c>
      <c r="D427" s="67" t="inlineStr">
        <is>
          <t>Middle Market</t>
        </is>
      </c>
      <c r="E427" s="67" t="n"/>
      <c r="F427" s="66" t="inlineStr">
        <is>
          <t>N/A</t>
        </is>
      </c>
      <c r="G427" s="66" t="inlineStr">
        <is>
          <t>Rolling / Unspecified</t>
        </is>
      </c>
      <c r="H427" s="66" t="inlineStr">
        <is>
          <t>미제공 (포털직접)</t>
        </is>
      </c>
    </row>
    <row r="428">
      <c r="A428" s="66" t="n">
        <v>427</v>
      </c>
      <c r="B428" s="67" t="inlineStr">
        <is>
          <t>severn-trent</t>
        </is>
      </c>
      <c r="C428" s="67" t="inlineStr">
        <is>
          <t>Finance Summer Placement</t>
        </is>
      </c>
      <c r="D428" s="67" t="inlineStr">
        <is>
          <t>Miscellaneous</t>
        </is>
      </c>
      <c r="E428" s="67" t="n"/>
      <c r="F428" s="66" t="inlineStr">
        <is>
          <t>N/A</t>
        </is>
      </c>
      <c r="G428" s="66" t="inlineStr">
        <is>
          <t>Rolling / Unspecified</t>
        </is>
      </c>
      <c r="H428" s="66" t="inlineStr">
        <is>
          <t>미제공 (포털직접)</t>
        </is>
      </c>
    </row>
    <row r="429">
      <c r="A429" s="66" t="n">
        <v>428</v>
      </c>
      <c r="B429" s="67" t="inlineStr">
        <is>
          <t>compass-lexecon</t>
        </is>
      </c>
      <c r="C429" s="67" t="inlineStr">
        <is>
          <t>Intern (Summer 2027)</t>
        </is>
      </c>
      <c r="D429" s="67" t="inlineStr">
        <is>
          <t>Consulting</t>
        </is>
      </c>
      <c r="E429" s="67" t="n"/>
      <c r="F429" s="66" t="inlineStr">
        <is>
          <t>N/A</t>
        </is>
      </c>
      <c r="G429" s="66" t="inlineStr">
        <is>
          <t>Rolling / Unspecified</t>
        </is>
      </c>
      <c r="H429" s="66" t="inlineStr">
        <is>
          <t>미제공 (포털직접)</t>
        </is>
      </c>
    </row>
    <row r="430">
      <c r="A430" s="66" t="n">
        <v>429</v>
      </c>
      <c r="B430" s="67" t="inlineStr">
        <is>
          <t>scotiabank</t>
        </is>
      </c>
      <c r="C430" s="67" t="inlineStr">
        <is>
          <t>2027 UK Summer Internship</t>
        </is>
      </c>
      <c r="D430" s="67" t="inlineStr">
        <is>
          <t>Middle Market</t>
        </is>
      </c>
      <c r="E430" s="67" t="n"/>
      <c r="F430" s="66" t="inlineStr">
        <is>
          <t>N/A</t>
        </is>
      </c>
      <c r="G430" s="66" t="inlineStr">
        <is>
          <t>Rolling / Unspecified</t>
        </is>
      </c>
      <c r="H430" s="66" t="inlineStr">
        <is>
          <t>미제공 (포털직접)</t>
        </is>
      </c>
    </row>
    <row r="431">
      <c r="A431" s="66" t="n">
        <v>430</v>
      </c>
      <c r="B431" s="67" t="inlineStr">
        <is>
          <t>lenovo</t>
        </is>
      </c>
      <c r="C431" s="67" t="inlineStr">
        <is>
          <t>Business Operations Intern, EMEA MBG</t>
        </is>
      </c>
      <c r="D431" s="67" t="inlineStr">
        <is>
          <t>Miscellaneous</t>
        </is>
      </c>
      <c r="E431" s="67" t="n"/>
      <c r="F431" s="66" t="inlineStr">
        <is>
          <t>N/A</t>
        </is>
      </c>
      <c r="G431" s="66" t="inlineStr">
        <is>
          <t>Rolling / Unspecified</t>
        </is>
      </c>
      <c r="H431" s="66" t="inlineStr">
        <is>
          <t>미제공 (포털직접)</t>
        </is>
      </c>
    </row>
    <row r="432">
      <c r="A432" s="66" t="n">
        <v>431</v>
      </c>
      <c r="B432" s="67" t="inlineStr">
        <is>
          <t>schroders</t>
        </is>
      </c>
      <c r="C432" s="67" t="inlineStr">
        <is>
          <t>2027 Internship Programme</t>
        </is>
      </c>
      <c r="D432" s="67" t="inlineStr">
        <is>
          <t>Asset Management</t>
        </is>
      </c>
      <c r="E432" s="67" t="n"/>
      <c r="F432" s="66" t="inlineStr">
        <is>
          <t>N/A</t>
        </is>
      </c>
      <c r="G432" s="66" t="inlineStr">
        <is>
          <t>Rolling / Unspecified</t>
        </is>
      </c>
      <c r="H432" s="68" t="inlineStr">
        <is>
          <t>지원 링크 ↗</t>
        </is>
      </c>
    </row>
    <row r="433">
      <c r="A433" s="66" t="n">
        <v>432</v>
      </c>
      <c r="B433" s="67" t="inlineStr">
        <is>
          <t>loizou-co</t>
        </is>
      </c>
      <c r="C433" s="67" t="inlineStr">
        <is>
          <t>Financial Advisory Internship</t>
        </is>
      </c>
      <c r="D433" s="67" t="inlineStr">
        <is>
          <t>Middle Market</t>
        </is>
      </c>
      <c r="E433" s="67" t="n"/>
      <c r="F433" s="66" t="inlineStr">
        <is>
          <t>N/A</t>
        </is>
      </c>
      <c r="G433" s="66" t="inlineStr">
        <is>
          <t>Rolling / Unspecified</t>
        </is>
      </c>
      <c r="H433" s="66" t="inlineStr">
        <is>
          <t>미제공 (포털직접)</t>
        </is>
      </c>
    </row>
    <row r="434">
      <c r="A434" s="66" t="n">
        <v>433</v>
      </c>
      <c r="B434" s="67" t="inlineStr">
        <is>
          <t>british-business-bank</t>
        </is>
      </c>
      <c r="C434" s="67" t="inlineStr">
        <is>
          <t>Summer Internship Programme 2027</t>
        </is>
      </c>
      <c r="D434" s="67" t="inlineStr">
        <is>
          <t>Miscellaneous</t>
        </is>
      </c>
      <c r="E434" s="67" t="n"/>
      <c r="F434" s="66" t="inlineStr">
        <is>
          <t>N/A</t>
        </is>
      </c>
      <c r="G434" s="66" t="inlineStr">
        <is>
          <t>Rolling / Unspecified</t>
        </is>
      </c>
      <c r="H434" s="66" t="inlineStr">
        <is>
          <t>미제공 (포털직접)</t>
        </is>
      </c>
    </row>
    <row r="435">
      <c r="A435" s="66" t="n">
        <v>434</v>
      </c>
      <c r="B435" s="67" t="inlineStr">
        <is>
          <t>retail-insights</t>
        </is>
      </c>
      <c r="C435" s="67" t="inlineStr">
        <is>
          <t>Management Consulting Internship</t>
        </is>
      </c>
      <c r="D435" s="67" t="inlineStr">
        <is>
          <t>Consulting</t>
        </is>
      </c>
      <c r="E435" s="67" t="n"/>
      <c r="F435" s="66" t="inlineStr">
        <is>
          <t>N/A</t>
        </is>
      </c>
      <c r="G435" s="66" t="inlineStr">
        <is>
          <t>Rolling / Unspecified</t>
        </is>
      </c>
      <c r="H435" s="66" t="inlineStr">
        <is>
          <t>미제공 (포털직접)</t>
        </is>
      </c>
    </row>
    <row r="436">
      <c r="A436" s="66" t="n">
        <v>435</v>
      </c>
      <c r="B436" s="67" t="inlineStr">
        <is>
          <t>macquarie-group</t>
        </is>
      </c>
      <c r="C436" s="67" t="inlineStr">
        <is>
          <t>2027 Risk Management Group Summer Internship Programme</t>
        </is>
      </c>
      <c r="D436" s="67" t="inlineStr">
        <is>
          <t>Middle Market</t>
        </is>
      </c>
      <c r="E436" s="67" t="n"/>
      <c r="F436" s="66" t="inlineStr">
        <is>
          <t>N/A</t>
        </is>
      </c>
      <c r="G436" s="66" t="inlineStr">
        <is>
          <t>Rolling / Unspecified</t>
        </is>
      </c>
      <c r="H436" s="68" t="inlineStr">
        <is>
          <t>지원 링크 ↗</t>
        </is>
      </c>
    </row>
    <row r="437">
      <c r="A437" s="66" t="n">
        <v>436</v>
      </c>
      <c r="B437" s="67" t="inlineStr">
        <is>
          <t>walter-scott</t>
        </is>
      </c>
      <c r="C437" s="67" t="inlineStr">
        <is>
          <t>Summer Internship Opportunities 2027</t>
        </is>
      </c>
      <c r="D437" s="67" t="inlineStr">
        <is>
          <t>Asset Management</t>
        </is>
      </c>
      <c r="E437" s="67" t="n"/>
      <c r="F437" s="66" t="inlineStr">
        <is>
          <t>N/A</t>
        </is>
      </c>
      <c r="G437" s="66" t="inlineStr">
        <is>
          <t>2026-10-16T00:00:00.000Z</t>
        </is>
      </c>
      <c r="H437" s="68" t="inlineStr">
        <is>
          <t>지원 링크 ↗</t>
        </is>
      </c>
    </row>
    <row r="438">
      <c r="A438" s="66" t="n">
        <v>437</v>
      </c>
      <c r="B438" s="67" t="inlineStr">
        <is>
          <t>dare</t>
        </is>
      </c>
      <c r="C438" s="67" t="inlineStr">
        <is>
          <t>Trading Summer Internship 2027</t>
        </is>
      </c>
      <c r="D438" s="67" t="inlineStr">
        <is>
          <t>Trading and Quant</t>
        </is>
      </c>
      <c r="E438" s="67" t="n"/>
      <c r="F438" s="66" t="inlineStr">
        <is>
          <t>N/A</t>
        </is>
      </c>
      <c r="G438" s="66" t="inlineStr">
        <is>
          <t>Rolling / Unspecified</t>
        </is>
      </c>
      <c r="H438" s="66" t="inlineStr">
        <is>
          <t>미제공 (포털직접)</t>
        </is>
      </c>
    </row>
    <row r="439">
      <c r="A439" s="66" t="n">
        <v>438</v>
      </c>
      <c r="B439" s="67" t="inlineStr">
        <is>
          <t>dimensional-fund-advisors</t>
        </is>
      </c>
      <c r="C439" s="67" t="inlineStr">
        <is>
          <t>Accountancy Internship, Summer 2027</t>
        </is>
      </c>
      <c r="D439" s="67" t="inlineStr">
        <is>
          <t>Accounting and Audit</t>
        </is>
      </c>
      <c r="E439" s="67" t="n"/>
      <c r="F439" s="66" t="inlineStr">
        <is>
          <t>N/A</t>
        </is>
      </c>
      <c r="G439" s="66" t="inlineStr">
        <is>
          <t>Rolling / Unspecified</t>
        </is>
      </c>
      <c r="H439" s="66" t="inlineStr">
        <is>
          <t>미제공 (포털직접)</t>
        </is>
      </c>
    </row>
    <row r="440">
      <c r="A440" s="66" t="n">
        <v>439</v>
      </c>
      <c r="B440" s="67" t="inlineStr">
        <is>
          <t>amazon</t>
        </is>
      </c>
      <c r="C440" s="67" t="inlineStr">
        <is>
          <t>Financial Analyst Intern</t>
        </is>
      </c>
      <c r="D440" s="67" t="inlineStr">
        <is>
          <t>Miscellaneous</t>
        </is>
      </c>
      <c r="E440" s="67" t="n"/>
      <c r="F440" s="66" t="inlineStr">
        <is>
          <t>N/A</t>
        </is>
      </c>
      <c r="G440" s="66" t="inlineStr">
        <is>
          <t>Rolling / Unspecified</t>
        </is>
      </c>
      <c r="H440" s="66" t="inlineStr">
        <is>
          <t>미제공 (포털직접)</t>
        </is>
      </c>
    </row>
    <row r="441">
      <c r="A441" s="66" t="n">
        <v>440</v>
      </c>
      <c r="B441" s="67" t="inlineStr">
        <is>
          <t>chatham-financial</t>
        </is>
      </c>
      <c r="C441" s="67" t="inlineStr">
        <is>
          <t>Intern, Investment Management</t>
        </is>
      </c>
      <c r="D441" s="67" t="inlineStr">
        <is>
          <t>Asset Management</t>
        </is>
      </c>
      <c r="E441" s="67" t="n"/>
      <c r="F441" s="66" t="inlineStr">
        <is>
          <t>N/A</t>
        </is>
      </c>
      <c r="G441" s="66" t="inlineStr">
        <is>
          <t>Rolling / Unspecified</t>
        </is>
      </c>
      <c r="H441" s="66" t="inlineStr">
        <is>
          <t>미제공 (포털직접)</t>
        </is>
      </c>
    </row>
    <row r="442">
      <c r="A442" s="66" t="n">
        <v>441</v>
      </c>
      <c r="B442" s="67" t="inlineStr">
        <is>
          <t>houlihan-lokey</t>
        </is>
      </c>
      <c r="C442" s="67" t="inlineStr">
        <is>
          <t>Summer Financial Analyst 2027 - Financial Restructuring</t>
        </is>
      </c>
      <c r="D442" s="67" t="inlineStr">
        <is>
          <t>Middle Market</t>
        </is>
      </c>
      <c r="E442" s="67" t="n"/>
      <c r="F442" s="66" t="inlineStr">
        <is>
          <t>N/A</t>
        </is>
      </c>
      <c r="G442" s="66" t="inlineStr">
        <is>
          <t>Rolling / Unspecified</t>
        </is>
      </c>
      <c r="H442" s="68" t="inlineStr">
        <is>
          <t>지원 링크 ↗</t>
        </is>
      </c>
    </row>
    <row r="443">
      <c r="A443" s="66" t="n">
        <v>442</v>
      </c>
      <c r="B443" s="67" t="inlineStr">
        <is>
          <t>millennium-management</t>
        </is>
      </c>
      <c r="C443" s="67" t="inlineStr">
        <is>
          <t>2027 Quant Researcher Intern</t>
        </is>
      </c>
      <c r="D443" s="67" t="inlineStr">
        <is>
          <t>Trading and Quant</t>
        </is>
      </c>
      <c r="E443" s="67" t="n"/>
      <c r="F443" s="66" t="inlineStr">
        <is>
          <t>N/A</t>
        </is>
      </c>
      <c r="G443" s="66" t="inlineStr">
        <is>
          <t>Rolling / Unspecified</t>
        </is>
      </c>
      <c r="H443" s="68" t="inlineStr">
        <is>
          <t>지원 링크 ↗</t>
        </is>
      </c>
    </row>
    <row r="444">
      <c r="A444" s="66" t="n">
        <v>443</v>
      </c>
      <c r="B444" s="67" t="inlineStr">
        <is>
          <t>mufg</t>
        </is>
      </c>
      <c r="C444" s="67" t="inlineStr">
        <is>
          <t>2027 Summer Analyst Programme: Internal Audit</t>
        </is>
      </c>
      <c r="D444" s="67" t="inlineStr">
        <is>
          <t>Middle Market</t>
        </is>
      </c>
      <c r="E444" s="67" t="n"/>
      <c r="F444" s="66" t="inlineStr">
        <is>
          <t>N/A</t>
        </is>
      </c>
      <c r="G444" s="66" t="inlineStr">
        <is>
          <t>2026-11-29T00:00:00.000Z</t>
        </is>
      </c>
      <c r="H444" s="68" t="inlineStr">
        <is>
          <t>지원 링크 ↗</t>
        </is>
      </c>
    </row>
    <row r="445">
      <c r="A445" s="66" t="n">
        <v>444</v>
      </c>
      <c r="B445" s="67" t="inlineStr">
        <is>
          <t>cboe-global-markets</t>
        </is>
      </c>
      <c r="C445" s="67" t="inlineStr">
        <is>
          <t>Quantitative Analytics Intern</t>
        </is>
      </c>
      <c r="D445" s="67" t="inlineStr">
        <is>
          <t>Trading and Quant</t>
        </is>
      </c>
      <c r="E445" s="67" t="n"/>
      <c r="F445" s="66" t="inlineStr">
        <is>
          <t>N/A</t>
        </is>
      </c>
      <c r="G445" s="66" t="inlineStr">
        <is>
          <t>Rolling / Unspecified</t>
        </is>
      </c>
      <c r="H445" s="66" t="inlineStr">
        <is>
          <t>미제공 (포털직접)</t>
        </is>
      </c>
    </row>
    <row r="446">
      <c r="A446" s="66" t="n">
        <v>445</v>
      </c>
      <c r="B446" s="67" t="inlineStr">
        <is>
          <t>bgf</t>
        </is>
      </c>
      <c r="C446" s="67" t="inlineStr">
        <is>
          <t>2027 Summer Internship Programme</t>
        </is>
      </c>
      <c r="D446" s="67" t="inlineStr">
        <is>
          <t>Buy-Side</t>
        </is>
      </c>
      <c r="E446" s="67" t="n"/>
      <c r="F446" s="66" t="inlineStr">
        <is>
          <t>N/A</t>
        </is>
      </c>
      <c r="G446" s="66" t="inlineStr">
        <is>
          <t>Rolling / Unspecified</t>
        </is>
      </c>
      <c r="H446" s="66" t="inlineStr">
        <is>
          <t>미제공 (포털직접)</t>
        </is>
      </c>
    </row>
    <row r="447">
      <c r="A447" s="66" t="n">
        <v>446</v>
      </c>
      <c r="B447" s="67" t="inlineStr">
        <is>
          <t>gneiss-energy</t>
        </is>
      </c>
      <c r="C447" s="67" t="inlineStr">
        <is>
          <t>Summer Internship 2027</t>
        </is>
      </c>
      <c r="D447" s="67" t="inlineStr">
        <is>
          <t>Middle Market</t>
        </is>
      </c>
      <c r="E447" s="67" t="n"/>
      <c r="F447" s="66" t="inlineStr">
        <is>
          <t>N/A</t>
        </is>
      </c>
      <c r="G447" s="66" t="inlineStr">
        <is>
          <t>Rolling / Unspecified</t>
        </is>
      </c>
      <c r="H447" s="66" t="inlineStr">
        <is>
          <t>미제공 (포털직접)</t>
        </is>
      </c>
    </row>
    <row r="448">
      <c r="A448" s="66" t="n">
        <v>447</v>
      </c>
      <c r="B448" s="67" t="inlineStr">
        <is>
          <t>sona-asset-management</t>
        </is>
      </c>
      <c r="C448" s="67" t="inlineStr">
        <is>
          <t>Summer Intern Programme</t>
        </is>
      </c>
      <c r="D448" s="67" t="inlineStr">
        <is>
          <t>Buy-Side</t>
        </is>
      </c>
      <c r="E448" s="67" t="n"/>
      <c r="F448" s="66" t="inlineStr">
        <is>
          <t>N/A</t>
        </is>
      </c>
      <c r="G448" s="66" t="inlineStr">
        <is>
          <t>Rolling / Unspecified</t>
        </is>
      </c>
      <c r="H448" s="66" t="inlineStr">
        <is>
          <t>미제공 (포털직접)</t>
        </is>
      </c>
    </row>
    <row r="449">
      <c r="A449" s="66" t="n">
        <v>448</v>
      </c>
      <c r="B449" s="67" t="inlineStr">
        <is>
          <t>ethical-capital-partners</t>
        </is>
      </c>
      <c r="C449" s="67" t="inlineStr">
        <is>
          <t>Investment Intern</t>
        </is>
      </c>
      <c r="D449" s="67" t="inlineStr">
        <is>
          <t>Buy-Side</t>
        </is>
      </c>
      <c r="E449" s="67" t="n"/>
      <c r="F449" s="66" t="inlineStr">
        <is>
          <t>N/A</t>
        </is>
      </c>
      <c r="G449" s="66" t="inlineStr">
        <is>
          <t>Rolling / Unspecified</t>
        </is>
      </c>
      <c r="H449" s="66" t="inlineStr">
        <is>
          <t>미제공 (포털직접)</t>
        </is>
      </c>
    </row>
    <row r="450">
      <c r="A450" s="66" t="n">
        <v>449</v>
      </c>
      <c r="B450" s="67" t="inlineStr">
        <is>
          <t>charles-river-associates</t>
        </is>
      </c>
      <c r="C450" s="67" t="inlineStr">
        <is>
          <t>Intern - Summer 2027</t>
        </is>
      </c>
      <c r="D450" s="67" t="inlineStr">
        <is>
          <t>Consulting</t>
        </is>
      </c>
      <c r="E450" s="67" t="n"/>
      <c r="F450" s="66" t="inlineStr">
        <is>
          <t>N/A</t>
        </is>
      </c>
      <c r="G450" s="66" t="inlineStr">
        <is>
          <t>Rolling / Unspecified</t>
        </is>
      </c>
      <c r="H450" s="66" t="inlineStr">
        <is>
          <t>미제공 (포털직접)</t>
        </is>
      </c>
    </row>
    <row r="451">
      <c r="A451" s="66" t="n">
        <v>450</v>
      </c>
      <c r="B451" s="67" t="inlineStr">
        <is>
          <t>mizuho</t>
        </is>
      </c>
      <c r="C451" s="67" t="inlineStr">
        <is>
          <t>2027 Operations Summer Internship</t>
        </is>
      </c>
      <c r="D451" s="67" t="inlineStr">
        <is>
          <t>Middle Market</t>
        </is>
      </c>
      <c r="E451" s="67" t="n"/>
      <c r="F451" s="66" t="inlineStr">
        <is>
          <t>N/A</t>
        </is>
      </c>
      <c r="G451" s="66" t="inlineStr">
        <is>
          <t>2026-10-05T00:00:00.000Z</t>
        </is>
      </c>
      <c r="H451" s="68" t="inlineStr">
        <is>
          <t>지원 링크 ↗</t>
        </is>
      </c>
    </row>
    <row r="452">
      <c r="A452" s="66" t="n">
        <v>451</v>
      </c>
      <c r="B452" s="67" t="inlineStr">
        <is>
          <t>j-p-morgan</t>
        </is>
      </c>
      <c r="C452" s="67" t="inlineStr">
        <is>
          <t>2027 Global Private Bank - Advisor Summer Internship</t>
        </is>
      </c>
      <c r="D452" s="67" t="inlineStr">
        <is>
          <t>Bulge Bracket</t>
        </is>
      </c>
      <c r="E452" s="67" t="n"/>
      <c r="F452" s="66" t="inlineStr">
        <is>
          <t>N/A</t>
        </is>
      </c>
      <c r="G452" s="66" t="inlineStr">
        <is>
          <t>Rolling / Unspecified</t>
        </is>
      </c>
      <c r="H452" s="68" t="inlineStr">
        <is>
          <t>지원 링크 ↗</t>
        </is>
      </c>
    </row>
    <row r="453">
      <c r="A453" s="66" t="n">
        <v>452</v>
      </c>
      <c r="B453" s="67" t="inlineStr">
        <is>
          <t>handelsbanken</t>
        </is>
      </c>
      <c r="C453" s="67" t="inlineStr">
        <is>
          <t>Summer Internship 2027</t>
        </is>
      </c>
      <c r="D453" s="67" t="inlineStr">
        <is>
          <t>Middle Market</t>
        </is>
      </c>
      <c r="E453" s="67" t="n"/>
      <c r="F453" s="66" t="inlineStr">
        <is>
          <t>N/A</t>
        </is>
      </c>
      <c r="G453" s="66" t="inlineStr">
        <is>
          <t>Rolling / Unspecified</t>
        </is>
      </c>
      <c r="H453" s="66" t="inlineStr">
        <is>
          <t>미제공 (포털직접)</t>
        </is>
      </c>
    </row>
    <row r="454">
      <c r="A454" s="66" t="n">
        <v>453</v>
      </c>
      <c r="B454" s="67" t="inlineStr">
        <is>
          <t>hdi-global</t>
        </is>
      </c>
      <c r="C454" s="67" t="inlineStr">
        <is>
          <t>Actuarial Internship</t>
        </is>
      </c>
      <c r="D454" s="67" t="inlineStr">
        <is>
          <t>Pensions and Insurance</t>
        </is>
      </c>
      <c r="E454" s="67" t="n"/>
      <c r="F454" s="66" t="inlineStr">
        <is>
          <t>N/A</t>
        </is>
      </c>
      <c r="G454" s="66" t="inlineStr">
        <is>
          <t>Rolling / Unspecified</t>
        </is>
      </c>
      <c r="H454" s="66" t="inlineStr">
        <is>
          <t>미제공 (포털직접)</t>
        </is>
      </c>
    </row>
    <row r="455">
      <c r="A455" s="66" t="n">
        <v>454</v>
      </c>
      <c r="B455" s="67" t="inlineStr">
        <is>
          <t>alphasights</t>
        </is>
      </c>
      <c r="C455" s="67" t="inlineStr">
        <is>
          <t>Insight Days, Client Service</t>
        </is>
      </c>
      <c r="D455" s="67" t="inlineStr">
        <is>
          <t>Miscellaneous</t>
        </is>
      </c>
      <c r="E455" s="67" t="n"/>
      <c r="F455" s="66" t="inlineStr">
        <is>
          <t>N/A</t>
        </is>
      </c>
      <c r="G455" s="66" t="inlineStr">
        <is>
          <t>Rolling / Unspecified</t>
        </is>
      </c>
      <c r="H455" s="66" t="inlineStr">
        <is>
          <t>미제공 (포털직접)</t>
        </is>
      </c>
    </row>
    <row r="456">
      <c r="A456" s="66" t="n">
        <v>455</v>
      </c>
      <c r="B456" s="67" t="inlineStr">
        <is>
          <t>blackfinch-group</t>
        </is>
      </c>
      <c r="C456" s="67" t="inlineStr">
        <is>
          <t>Blackfinch Summer 2027 Internship Programme</t>
        </is>
      </c>
      <c r="D456" s="67" t="inlineStr">
        <is>
          <t>Asset Management</t>
        </is>
      </c>
      <c r="E456" s="67" t="n"/>
      <c r="F456" s="66" t="inlineStr">
        <is>
          <t>N/A</t>
        </is>
      </c>
      <c r="G456" s="66" t="inlineStr">
        <is>
          <t>Rolling / Unspecified</t>
        </is>
      </c>
      <c r="H456" s="66" t="inlineStr">
        <is>
          <t>미제공 (포털직접)</t>
        </is>
      </c>
    </row>
    <row r="457">
      <c r="A457" s="66" t="n">
        <v>456</v>
      </c>
      <c r="B457" s="67" t="inlineStr">
        <is>
          <t>knight-frank</t>
        </is>
      </c>
      <c r="C457" s="67" t="inlineStr">
        <is>
          <t>12-Week Work Placement</t>
        </is>
      </c>
      <c r="D457" s="67" t="inlineStr">
        <is>
          <t>Consulting</t>
        </is>
      </c>
      <c r="E457" s="67" t="n"/>
      <c r="F457" s="66" t="inlineStr">
        <is>
          <t>N/A</t>
        </is>
      </c>
      <c r="G457" s="66" t="inlineStr">
        <is>
          <t>Rolling / Unspecified</t>
        </is>
      </c>
      <c r="H457" s="66" t="inlineStr">
        <is>
          <t>미제공 (포털직접)</t>
        </is>
      </c>
    </row>
    <row r="458">
      <c r="A458" s="66" t="n">
        <v>457</v>
      </c>
      <c r="B458" s="67" t="inlineStr">
        <is>
          <t>eqt</t>
        </is>
      </c>
      <c r="C458" s="67" t="inlineStr">
        <is>
          <t>Summer Analyst Programme – EQT Real Estate</t>
        </is>
      </c>
      <c r="D458" s="67" t="inlineStr">
        <is>
          <t>Buy-Side</t>
        </is>
      </c>
      <c r="E458" s="67" t="n"/>
      <c r="F458" s="66" t="inlineStr">
        <is>
          <t>N/A</t>
        </is>
      </c>
      <c r="G458" s="66" t="inlineStr">
        <is>
          <t>Rolling / Unspecified</t>
        </is>
      </c>
      <c r="H458" s="66" t="inlineStr">
        <is>
          <t>미제공 (포털직접)</t>
        </is>
      </c>
    </row>
    <row r="459">
      <c r="A459" s="66" t="n">
        <v>458</v>
      </c>
      <c r="B459" s="67" t="inlineStr">
        <is>
          <t>evercore</t>
        </is>
      </c>
      <c r="C459" s="67" t="inlineStr">
        <is>
          <t>RESA Summer Internship (2027)</t>
        </is>
      </c>
      <c r="D459" s="67" t="inlineStr">
        <is>
          <t>Elite Boutique</t>
        </is>
      </c>
      <c r="E459" s="67" t="n"/>
      <c r="F459" s="66" t="inlineStr">
        <is>
          <t>N/A</t>
        </is>
      </c>
      <c r="G459" s="66" t="inlineStr">
        <is>
          <t>Rolling / Unspecified</t>
        </is>
      </c>
      <c r="H459" s="68" t="inlineStr">
        <is>
          <t>지원 링크 ↗</t>
        </is>
      </c>
    </row>
    <row r="460">
      <c r="A460" s="66" t="n">
        <v>459</v>
      </c>
      <c r="B460" s="67" t="inlineStr">
        <is>
          <t>cd-r</t>
        </is>
      </c>
      <c r="C460" s="67" t="inlineStr">
        <is>
          <t>Private Equity Summer Internship 2027</t>
        </is>
      </c>
      <c r="D460" s="67" t="inlineStr">
        <is>
          <t>Buy-Side</t>
        </is>
      </c>
      <c r="E460" s="67" t="n"/>
      <c r="F460" s="66" t="inlineStr">
        <is>
          <t>N/A</t>
        </is>
      </c>
      <c r="G460" s="66" t="inlineStr">
        <is>
          <t>Rolling / Unspecified</t>
        </is>
      </c>
      <c r="H460" s="68" t="inlineStr">
        <is>
          <t>지원 링크 ↗</t>
        </is>
      </c>
    </row>
    <row r="461">
      <c r="A461" s="66" t="n">
        <v>460</v>
      </c>
      <c r="B461" s="67" t="inlineStr">
        <is>
          <t>vanguard</t>
        </is>
      </c>
      <c r="C461" s="67" t="inlineStr">
        <is>
          <t>Investment Management Internship, Summer 2027</t>
        </is>
      </c>
      <c r="D461" s="67" t="inlineStr">
        <is>
          <t>Asset Management</t>
        </is>
      </c>
      <c r="E461" s="67" t="n"/>
      <c r="F461" s="66" t="inlineStr">
        <is>
          <t>N/A</t>
        </is>
      </c>
      <c r="G461" s="66" t="inlineStr">
        <is>
          <t>Rolling / Unspecified</t>
        </is>
      </c>
      <c r="H461" s="66" t="inlineStr">
        <is>
          <t>미제공 (포털직접)</t>
        </is>
      </c>
    </row>
    <row r="462">
      <c r="A462" s="66" t="n">
        <v>461</v>
      </c>
      <c r="B462" s="67" t="inlineStr">
        <is>
          <t>savills</t>
        </is>
      </c>
      <c r="C462" s="67" t="inlineStr">
        <is>
          <t>2027 Summer Scheme</t>
        </is>
      </c>
      <c r="D462" s="67" t="inlineStr">
        <is>
          <t>Real Estate</t>
        </is>
      </c>
      <c r="E462" s="67" t="n"/>
      <c r="F462" s="66" t="inlineStr">
        <is>
          <t>N/A</t>
        </is>
      </c>
      <c r="G462" s="66" t="inlineStr">
        <is>
          <t>Rolling / Unspecified</t>
        </is>
      </c>
      <c r="H462" s="66" t="inlineStr">
        <is>
          <t>미제공 (포털직접)</t>
        </is>
      </c>
    </row>
    <row r="463">
      <c r="A463" s="66" t="n">
        <v>462</v>
      </c>
      <c r="B463" s="67" t="inlineStr">
        <is>
          <t>berenberg</t>
        </is>
      </c>
      <c r="C463" s="67" t="inlineStr">
        <is>
          <t>Summer Internship 2027</t>
        </is>
      </c>
      <c r="D463" s="67" t="inlineStr">
        <is>
          <t>Middle Market</t>
        </is>
      </c>
      <c r="E463" s="67" t="n"/>
      <c r="F463" s="66" t="inlineStr">
        <is>
          <t>N/A</t>
        </is>
      </c>
      <c r="G463" s="66" t="inlineStr">
        <is>
          <t>Rolling / Unspecified</t>
        </is>
      </c>
      <c r="H463" s="66" t="inlineStr">
        <is>
          <t>미제공 (포털직접)</t>
        </is>
      </c>
    </row>
    <row r="464">
      <c r="A464" s="66" t="n">
        <v>463</v>
      </c>
      <c r="B464" s="67" t="inlineStr">
        <is>
          <t>forvis-mazars</t>
        </is>
      </c>
      <c r="C464" s="67" t="inlineStr">
        <is>
          <t>Summer Internship 2027</t>
        </is>
      </c>
      <c r="D464" s="67" t="inlineStr">
        <is>
          <t>Miscellaneous</t>
        </is>
      </c>
      <c r="E464" s="67" t="n"/>
      <c r="F464" s="66" t="inlineStr">
        <is>
          <t>N/A</t>
        </is>
      </c>
      <c r="G464" s="66" t="inlineStr">
        <is>
          <t>Rolling / Unspecified</t>
        </is>
      </c>
      <c r="H464" s="66" t="inlineStr">
        <is>
          <t>미제공 (포털직접)</t>
        </is>
      </c>
    </row>
    <row r="465">
      <c r="A465" s="66" t="n">
        <v>464</v>
      </c>
      <c r="B465" s="67" t="inlineStr">
        <is>
          <t>equinor</t>
        </is>
      </c>
      <c r="C465" s="67" t="inlineStr">
        <is>
          <t>Summer Internship 2027</t>
        </is>
      </c>
      <c r="D465" s="67" t="inlineStr">
        <is>
          <t>Trading and Quant</t>
        </is>
      </c>
      <c r="E465" s="67" t="n"/>
      <c r="F465" s="66" t="inlineStr">
        <is>
          <t>N/A</t>
        </is>
      </c>
      <c r="G465" s="66" t="inlineStr">
        <is>
          <t>Rolling / Unspecified</t>
        </is>
      </c>
      <c r="H465" s="66" t="inlineStr">
        <is>
          <t>미제공 (포털직접)</t>
        </is>
      </c>
    </row>
    <row r="466">
      <c r="A466" s="66" t="n">
        <v>465</v>
      </c>
      <c r="B466" s="67" t="inlineStr">
        <is>
          <t>mufg</t>
        </is>
      </c>
      <c r="C466" s="67" t="inlineStr">
        <is>
          <t>2027 Summer Analyst Programme: Capital Markets</t>
        </is>
      </c>
      <c r="D466" s="67" t="inlineStr">
        <is>
          <t>Middle Market</t>
        </is>
      </c>
      <c r="E466" s="67" t="n"/>
      <c r="F466" s="66" t="inlineStr">
        <is>
          <t>N/A</t>
        </is>
      </c>
      <c r="G466" s="66" t="inlineStr">
        <is>
          <t>2026-11-29T00:00:00.000Z</t>
        </is>
      </c>
      <c r="H466" s="68" t="inlineStr">
        <is>
          <t>지원 링크 ↗</t>
        </is>
      </c>
    </row>
    <row r="467">
      <c r="A467" s="66" t="n">
        <v>466</v>
      </c>
      <c r="B467" s="67" t="inlineStr">
        <is>
          <t>evercore</t>
        </is>
      </c>
      <c r="C467" s="67" t="inlineStr">
        <is>
          <t>M&amp;A Advisory Summer Internship (2027)</t>
        </is>
      </c>
      <c r="D467" s="67" t="inlineStr">
        <is>
          <t>Elite Boutique</t>
        </is>
      </c>
      <c r="E467" s="67" t="n"/>
      <c r="F467" s="66" t="inlineStr">
        <is>
          <t>N/A</t>
        </is>
      </c>
      <c r="G467" s="66" t="inlineStr">
        <is>
          <t>Rolling / Unspecified</t>
        </is>
      </c>
      <c r="H467" s="68" t="inlineStr">
        <is>
          <t>지원 링크 ↗</t>
        </is>
      </c>
    </row>
    <row r="468">
      <c r="A468" s="66" t="n">
        <v>467</v>
      </c>
      <c r="B468" s="67" t="inlineStr">
        <is>
          <t>plural-strategy</t>
        </is>
      </c>
      <c r="C468" s="67" t="inlineStr">
        <is>
          <t>Strategy Consulting Intern</t>
        </is>
      </c>
      <c r="D468" s="67" t="inlineStr">
        <is>
          <t>Consulting</t>
        </is>
      </c>
      <c r="E468" s="67" t="n"/>
      <c r="F468" s="66" t="inlineStr">
        <is>
          <t>N/A</t>
        </is>
      </c>
      <c r="G468" s="66" t="inlineStr">
        <is>
          <t>Rolling / Unspecified</t>
        </is>
      </c>
      <c r="H468" s="66" t="inlineStr">
        <is>
          <t>미제공 (포털직접)</t>
        </is>
      </c>
    </row>
    <row r="469">
      <c r="A469" s="66" t="n">
        <v>468</v>
      </c>
      <c r="B469" s="67" t="inlineStr">
        <is>
          <t>moody-s</t>
        </is>
      </c>
      <c r="C469" s="67" t="inlineStr">
        <is>
          <t>Pricing and Packaging Strategy Intern</t>
        </is>
      </c>
      <c r="D469" s="67" t="inlineStr">
        <is>
          <t>Miscellaneous</t>
        </is>
      </c>
      <c r="E469" s="67" t="n"/>
      <c r="F469" s="66" t="inlineStr">
        <is>
          <t>N/A</t>
        </is>
      </c>
      <c r="G469" s="66" t="inlineStr">
        <is>
          <t>Rolling / Unspecified</t>
        </is>
      </c>
      <c r="H469" s="66" t="inlineStr">
        <is>
          <t>미제공 (포털직접)</t>
        </is>
      </c>
    </row>
    <row r="470">
      <c r="A470" s="66" t="n">
        <v>469</v>
      </c>
      <c r="B470" s="67" t="inlineStr">
        <is>
          <t>santander</t>
        </is>
      </c>
      <c r="C470" s="67" t="inlineStr">
        <is>
          <t>CIB 2027 Summer Internship Program</t>
        </is>
      </c>
      <c r="D470" s="67" t="inlineStr">
        <is>
          <t>Middle Market</t>
        </is>
      </c>
      <c r="E470" s="67" t="n"/>
      <c r="F470" s="66" t="inlineStr">
        <is>
          <t>N/A</t>
        </is>
      </c>
      <c r="G470" s="66" t="inlineStr">
        <is>
          <t>Rolling / Unspecified</t>
        </is>
      </c>
      <c r="H470" s="66" t="inlineStr">
        <is>
          <t>미제공 (포털직접)</t>
        </is>
      </c>
    </row>
    <row r="471">
      <c r="A471" s="66" t="n">
        <v>470</v>
      </c>
      <c r="B471" s="67" t="inlineStr">
        <is>
          <t>bmo-capital-markets</t>
        </is>
      </c>
      <c r="C471" s="67" t="inlineStr">
        <is>
          <t>2027 Investment Banking Summer Analyst</t>
        </is>
      </c>
      <c r="D471" s="67" t="inlineStr">
        <is>
          <t>Middle Market</t>
        </is>
      </c>
      <c r="E471" s="67" t="n"/>
      <c r="F471" s="66" t="inlineStr">
        <is>
          <t>N/A</t>
        </is>
      </c>
      <c r="G471" s="66" t="inlineStr">
        <is>
          <t>Rolling / Unspecified</t>
        </is>
      </c>
      <c r="H471" s="66" t="inlineStr">
        <is>
          <t>미제공 (포털직접)</t>
        </is>
      </c>
    </row>
    <row r="472">
      <c r="A472" s="66" t="n">
        <v>471</v>
      </c>
      <c r="B472" s="67" t="inlineStr">
        <is>
          <t>mercer</t>
        </is>
      </c>
      <c r="C472" s="67" t="inlineStr">
        <is>
          <t>Summer Internship 2027</t>
        </is>
      </c>
      <c r="D472" s="67" t="inlineStr">
        <is>
          <t>Pensions and Insurance</t>
        </is>
      </c>
      <c r="E472" s="67" t="n"/>
      <c r="F472" s="66" t="inlineStr">
        <is>
          <t>N/A</t>
        </is>
      </c>
      <c r="G472" s="66" t="inlineStr">
        <is>
          <t>Rolling / Unspecified</t>
        </is>
      </c>
      <c r="H472" s="66" t="inlineStr">
        <is>
          <t>미제공 (포털직접)</t>
        </is>
      </c>
    </row>
    <row r="473">
      <c r="A473" s="66" t="n">
        <v>472</v>
      </c>
      <c r="B473" s="67" t="inlineStr">
        <is>
          <t>first-actuarial</t>
        </is>
      </c>
      <c r="C473" s="67" t="inlineStr">
        <is>
          <t>Internship Opportunities 2027</t>
        </is>
      </c>
      <c r="D473" s="67" t="inlineStr">
        <is>
          <t>Pensions and Insurance</t>
        </is>
      </c>
      <c r="E473" s="67" t="n"/>
      <c r="F473" s="66" t="inlineStr">
        <is>
          <t>N/A</t>
        </is>
      </c>
      <c r="G473" s="66" t="inlineStr">
        <is>
          <t>Rolling / Unspecified</t>
        </is>
      </c>
      <c r="H473" s="66" t="inlineStr">
        <is>
          <t>미제공 (포털직접)</t>
        </is>
      </c>
    </row>
    <row r="474">
      <c r="A474" s="66" t="n">
        <v>473</v>
      </c>
      <c r="B474" s="67" t="inlineStr">
        <is>
          <t>royal-london</t>
        </is>
      </c>
      <c r="C474" s="67" t="inlineStr">
        <is>
          <t>Summer Internship</t>
        </is>
      </c>
      <c r="D474" s="67" t="inlineStr">
        <is>
          <t>Pensions and Insurance</t>
        </is>
      </c>
      <c r="E474" s="67" t="n"/>
      <c r="F474" s="66" t="inlineStr">
        <is>
          <t>N/A</t>
        </is>
      </c>
      <c r="G474" s="66" t="inlineStr">
        <is>
          <t>Rolling / Unspecified</t>
        </is>
      </c>
      <c r="H474" s="66" t="inlineStr">
        <is>
          <t>미제공 (포털직접)</t>
        </is>
      </c>
    </row>
    <row r="475">
      <c r="A475" s="66" t="n">
        <v>474</v>
      </c>
      <c r="B475" s="67" t="inlineStr">
        <is>
          <t>ardea-partners</t>
        </is>
      </c>
      <c r="C475" s="67" t="inlineStr">
        <is>
          <t>2027 Summer Analyst Programme</t>
        </is>
      </c>
      <c r="D475" s="67" t="inlineStr">
        <is>
          <t>Elite Boutique</t>
        </is>
      </c>
      <c r="E475" s="67" t="n"/>
      <c r="F475" s="66" t="inlineStr">
        <is>
          <t>N/A</t>
        </is>
      </c>
      <c r="G475" s="66" t="inlineStr">
        <is>
          <t>Rolling / Unspecified</t>
        </is>
      </c>
      <c r="H475" s="68" t="inlineStr">
        <is>
          <t>지원 링크 ↗</t>
        </is>
      </c>
    </row>
    <row r="476">
      <c r="A476" s="66" t="n">
        <v>475</v>
      </c>
      <c r="B476" s="67" t="inlineStr">
        <is>
          <t>arbuthnot-latham</t>
        </is>
      </c>
      <c r="C476" s="67" t="inlineStr">
        <is>
          <t>Internship 2027</t>
        </is>
      </c>
      <c r="D476" s="67" t="inlineStr">
        <is>
          <t>Asset Management</t>
        </is>
      </c>
      <c r="E476" s="67" t="n"/>
      <c r="F476" s="66" t="inlineStr">
        <is>
          <t>N/A</t>
        </is>
      </c>
      <c r="G476" s="66" t="inlineStr">
        <is>
          <t>Rolling / Unspecified</t>
        </is>
      </c>
      <c r="H476" s="66" t="inlineStr">
        <is>
          <t>미제공 (포털직접)</t>
        </is>
      </c>
    </row>
    <row r="477">
      <c r="A477" s="66" t="n">
        <v>476</v>
      </c>
      <c r="B477" s="67" t="inlineStr">
        <is>
          <t>infrared-capital-partners</t>
        </is>
      </c>
      <c r="C477" s="67" t="inlineStr">
        <is>
          <t>Investments Summer Analyst Internship 2027</t>
        </is>
      </c>
      <c r="D477" s="67" t="inlineStr">
        <is>
          <t>Buy-Side</t>
        </is>
      </c>
      <c r="E477" s="67" t="n"/>
      <c r="F477" s="66" t="inlineStr">
        <is>
          <t>N/A</t>
        </is>
      </c>
      <c r="G477" s="66" t="inlineStr">
        <is>
          <t>Rolling / Unspecified</t>
        </is>
      </c>
      <c r="H477" s="68" t="inlineStr">
        <is>
          <t>지원 링크 ↗</t>
        </is>
      </c>
    </row>
    <row r="478">
      <c r="A478" s="66" t="n">
        <v>477</v>
      </c>
      <c r="B478" s="67" t="inlineStr">
        <is>
          <t>mufg</t>
        </is>
      </c>
      <c r="C478" s="67" t="inlineStr">
        <is>
          <t>2027 Summer Analyst Programme: Global Corporate Investment Banking</t>
        </is>
      </c>
      <c r="D478" s="67" t="inlineStr">
        <is>
          <t>Middle Market</t>
        </is>
      </c>
      <c r="E478" s="67" t="n"/>
      <c r="F478" s="66" t="inlineStr">
        <is>
          <t>N/A</t>
        </is>
      </c>
      <c r="G478" s="66" t="inlineStr">
        <is>
          <t>2026-11-29T00:00:00.000Z</t>
        </is>
      </c>
      <c r="H478" s="68" t="inlineStr">
        <is>
          <t>지원 링크 ↗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5" r:id="rId32"/>
    <hyperlink xmlns:r="http://schemas.openxmlformats.org/officeDocument/2006/relationships" ref="H39" r:id="rId33"/>
    <hyperlink xmlns:r="http://schemas.openxmlformats.org/officeDocument/2006/relationships" ref="H43" r:id="rId34"/>
    <hyperlink xmlns:r="http://schemas.openxmlformats.org/officeDocument/2006/relationships" ref="H45" r:id="rId35"/>
    <hyperlink xmlns:r="http://schemas.openxmlformats.org/officeDocument/2006/relationships" ref="H48" r:id="rId36"/>
    <hyperlink xmlns:r="http://schemas.openxmlformats.org/officeDocument/2006/relationships" ref="H52" r:id="rId37"/>
    <hyperlink xmlns:r="http://schemas.openxmlformats.org/officeDocument/2006/relationships" ref="H56" r:id="rId38"/>
    <hyperlink xmlns:r="http://schemas.openxmlformats.org/officeDocument/2006/relationships" ref="H73" r:id="rId39"/>
    <hyperlink xmlns:r="http://schemas.openxmlformats.org/officeDocument/2006/relationships" ref="H79" r:id="rId40"/>
    <hyperlink xmlns:r="http://schemas.openxmlformats.org/officeDocument/2006/relationships" ref="H83" r:id="rId41"/>
    <hyperlink xmlns:r="http://schemas.openxmlformats.org/officeDocument/2006/relationships" ref="H84" r:id="rId42"/>
    <hyperlink xmlns:r="http://schemas.openxmlformats.org/officeDocument/2006/relationships" ref="H85" r:id="rId43"/>
    <hyperlink xmlns:r="http://schemas.openxmlformats.org/officeDocument/2006/relationships" ref="H90" r:id="rId44"/>
    <hyperlink xmlns:r="http://schemas.openxmlformats.org/officeDocument/2006/relationships" ref="H93" r:id="rId45"/>
    <hyperlink xmlns:r="http://schemas.openxmlformats.org/officeDocument/2006/relationships" ref="H96" r:id="rId46"/>
    <hyperlink xmlns:r="http://schemas.openxmlformats.org/officeDocument/2006/relationships" ref="H98" r:id="rId47"/>
    <hyperlink xmlns:r="http://schemas.openxmlformats.org/officeDocument/2006/relationships" ref="H99" r:id="rId48"/>
    <hyperlink xmlns:r="http://schemas.openxmlformats.org/officeDocument/2006/relationships" ref="H102" r:id="rId49"/>
    <hyperlink xmlns:r="http://schemas.openxmlformats.org/officeDocument/2006/relationships" ref="H107" r:id="rId50"/>
    <hyperlink xmlns:r="http://schemas.openxmlformats.org/officeDocument/2006/relationships" ref="H109" r:id="rId51"/>
    <hyperlink xmlns:r="http://schemas.openxmlformats.org/officeDocument/2006/relationships" ref="H114" r:id="rId52"/>
    <hyperlink xmlns:r="http://schemas.openxmlformats.org/officeDocument/2006/relationships" ref="H120" r:id="rId53"/>
    <hyperlink xmlns:r="http://schemas.openxmlformats.org/officeDocument/2006/relationships" ref="H122" r:id="rId54"/>
    <hyperlink xmlns:r="http://schemas.openxmlformats.org/officeDocument/2006/relationships" ref="H125" r:id="rId55"/>
    <hyperlink xmlns:r="http://schemas.openxmlformats.org/officeDocument/2006/relationships" ref="H133" r:id="rId56"/>
    <hyperlink xmlns:r="http://schemas.openxmlformats.org/officeDocument/2006/relationships" ref="H137" r:id="rId57"/>
    <hyperlink xmlns:r="http://schemas.openxmlformats.org/officeDocument/2006/relationships" ref="H146" r:id="rId58"/>
    <hyperlink xmlns:r="http://schemas.openxmlformats.org/officeDocument/2006/relationships" ref="H155" r:id="rId59"/>
    <hyperlink xmlns:r="http://schemas.openxmlformats.org/officeDocument/2006/relationships" ref="H156" r:id="rId60"/>
    <hyperlink xmlns:r="http://schemas.openxmlformats.org/officeDocument/2006/relationships" ref="H159" r:id="rId61"/>
    <hyperlink xmlns:r="http://schemas.openxmlformats.org/officeDocument/2006/relationships" ref="H165" r:id="rId62"/>
    <hyperlink xmlns:r="http://schemas.openxmlformats.org/officeDocument/2006/relationships" ref="H167" r:id="rId63"/>
    <hyperlink xmlns:r="http://schemas.openxmlformats.org/officeDocument/2006/relationships" ref="H168" r:id="rId64"/>
    <hyperlink xmlns:r="http://schemas.openxmlformats.org/officeDocument/2006/relationships" ref="H175" r:id="rId65"/>
    <hyperlink xmlns:r="http://schemas.openxmlformats.org/officeDocument/2006/relationships" ref="H176" r:id="rId66"/>
    <hyperlink xmlns:r="http://schemas.openxmlformats.org/officeDocument/2006/relationships" ref="H177" r:id="rId67"/>
    <hyperlink xmlns:r="http://schemas.openxmlformats.org/officeDocument/2006/relationships" ref="H178" r:id="rId68"/>
    <hyperlink xmlns:r="http://schemas.openxmlformats.org/officeDocument/2006/relationships" ref="H181" r:id="rId69"/>
    <hyperlink xmlns:r="http://schemas.openxmlformats.org/officeDocument/2006/relationships" ref="H183" r:id="rId70"/>
    <hyperlink xmlns:r="http://schemas.openxmlformats.org/officeDocument/2006/relationships" ref="H187" r:id="rId71"/>
    <hyperlink xmlns:r="http://schemas.openxmlformats.org/officeDocument/2006/relationships" ref="H189" r:id="rId72"/>
    <hyperlink xmlns:r="http://schemas.openxmlformats.org/officeDocument/2006/relationships" ref="H190" r:id="rId73"/>
    <hyperlink xmlns:r="http://schemas.openxmlformats.org/officeDocument/2006/relationships" ref="H191" r:id="rId74"/>
    <hyperlink xmlns:r="http://schemas.openxmlformats.org/officeDocument/2006/relationships" ref="H199" r:id="rId75"/>
    <hyperlink xmlns:r="http://schemas.openxmlformats.org/officeDocument/2006/relationships" ref="H202" r:id="rId76"/>
    <hyperlink xmlns:r="http://schemas.openxmlformats.org/officeDocument/2006/relationships" ref="H204" r:id="rId77"/>
    <hyperlink xmlns:r="http://schemas.openxmlformats.org/officeDocument/2006/relationships" ref="H211" r:id="rId78"/>
    <hyperlink xmlns:r="http://schemas.openxmlformats.org/officeDocument/2006/relationships" ref="H213" r:id="rId79"/>
    <hyperlink xmlns:r="http://schemas.openxmlformats.org/officeDocument/2006/relationships" ref="H216" r:id="rId80"/>
    <hyperlink xmlns:r="http://schemas.openxmlformats.org/officeDocument/2006/relationships" ref="H218" r:id="rId81"/>
    <hyperlink xmlns:r="http://schemas.openxmlformats.org/officeDocument/2006/relationships" ref="H219" r:id="rId82"/>
    <hyperlink xmlns:r="http://schemas.openxmlformats.org/officeDocument/2006/relationships" ref="H220" r:id="rId83"/>
    <hyperlink xmlns:r="http://schemas.openxmlformats.org/officeDocument/2006/relationships" ref="H222" r:id="rId84"/>
    <hyperlink xmlns:r="http://schemas.openxmlformats.org/officeDocument/2006/relationships" ref="H224" r:id="rId85"/>
    <hyperlink xmlns:r="http://schemas.openxmlformats.org/officeDocument/2006/relationships" ref="H226" r:id="rId86"/>
    <hyperlink xmlns:r="http://schemas.openxmlformats.org/officeDocument/2006/relationships" ref="H233" r:id="rId87"/>
    <hyperlink xmlns:r="http://schemas.openxmlformats.org/officeDocument/2006/relationships" ref="H236" r:id="rId88"/>
    <hyperlink xmlns:r="http://schemas.openxmlformats.org/officeDocument/2006/relationships" ref="H237" r:id="rId89"/>
    <hyperlink xmlns:r="http://schemas.openxmlformats.org/officeDocument/2006/relationships" ref="H238" r:id="rId90"/>
    <hyperlink xmlns:r="http://schemas.openxmlformats.org/officeDocument/2006/relationships" ref="H241" r:id="rId91"/>
    <hyperlink xmlns:r="http://schemas.openxmlformats.org/officeDocument/2006/relationships" ref="H243" r:id="rId92"/>
    <hyperlink xmlns:r="http://schemas.openxmlformats.org/officeDocument/2006/relationships" ref="H245" r:id="rId93"/>
    <hyperlink xmlns:r="http://schemas.openxmlformats.org/officeDocument/2006/relationships" ref="H246" r:id="rId94"/>
    <hyperlink xmlns:r="http://schemas.openxmlformats.org/officeDocument/2006/relationships" ref="H247" r:id="rId95"/>
    <hyperlink xmlns:r="http://schemas.openxmlformats.org/officeDocument/2006/relationships" ref="H252" r:id="rId96"/>
    <hyperlink xmlns:r="http://schemas.openxmlformats.org/officeDocument/2006/relationships" ref="H256" r:id="rId97"/>
    <hyperlink xmlns:r="http://schemas.openxmlformats.org/officeDocument/2006/relationships" ref="H260" r:id="rId98"/>
    <hyperlink xmlns:r="http://schemas.openxmlformats.org/officeDocument/2006/relationships" ref="H265" r:id="rId99"/>
    <hyperlink xmlns:r="http://schemas.openxmlformats.org/officeDocument/2006/relationships" ref="H269" r:id="rId100"/>
    <hyperlink xmlns:r="http://schemas.openxmlformats.org/officeDocument/2006/relationships" ref="H272" r:id="rId101"/>
    <hyperlink xmlns:r="http://schemas.openxmlformats.org/officeDocument/2006/relationships" ref="H279" r:id="rId102"/>
    <hyperlink xmlns:r="http://schemas.openxmlformats.org/officeDocument/2006/relationships" ref="H283" r:id="rId103"/>
    <hyperlink xmlns:r="http://schemas.openxmlformats.org/officeDocument/2006/relationships" ref="H286" r:id="rId104"/>
    <hyperlink xmlns:r="http://schemas.openxmlformats.org/officeDocument/2006/relationships" ref="H287" r:id="rId105"/>
    <hyperlink xmlns:r="http://schemas.openxmlformats.org/officeDocument/2006/relationships" ref="H288" r:id="rId106"/>
    <hyperlink xmlns:r="http://schemas.openxmlformats.org/officeDocument/2006/relationships" ref="H290" r:id="rId107"/>
    <hyperlink xmlns:r="http://schemas.openxmlformats.org/officeDocument/2006/relationships" ref="H296" r:id="rId108"/>
    <hyperlink xmlns:r="http://schemas.openxmlformats.org/officeDocument/2006/relationships" ref="H297" r:id="rId109"/>
    <hyperlink xmlns:r="http://schemas.openxmlformats.org/officeDocument/2006/relationships" ref="H299" r:id="rId110"/>
    <hyperlink xmlns:r="http://schemas.openxmlformats.org/officeDocument/2006/relationships" ref="H302" r:id="rId111"/>
    <hyperlink xmlns:r="http://schemas.openxmlformats.org/officeDocument/2006/relationships" ref="H303" r:id="rId112"/>
    <hyperlink xmlns:r="http://schemas.openxmlformats.org/officeDocument/2006/relationships" ref="H304" r:id="rId113"/>
    <hyperlink xmlns:r="http://schemas.openxmlformats.org/officeDocument/2006/relationships" ref="H309" r:id="rId114"/>
    <hyperlink xmlns:r="http://schemas.openxmlformats.org/officeDocument/2006/relationships" ref="H311" r:id="rId115"/>
    <hyperlink xmlns:r="http://schemas.openxmlformats.org/officeDocument/2006/relationships" ref="H315" r:id="rId116"/>
    <hyperlink xmlns:r="http://schemas.openxmlformats.org/officeDocument/2006/relationships" ref="H321" r:id="rId117"/>
    <hyperlink xmlns:r="http://schemas.openxmlformats.org/officeDocument/2006/relationships" ref="H322" r:id="rId118"/>
    <hyperlink xmlns:r="http://schemas.openxmlformats.org/officeDocument/2006/relationships" ref="H326" r:id="rId119"/>
    <hyperlink xmlns:r="http://schemas.openxmlformats.org/officeDocument/2006/relationships" ref="H327" r:id="rId120"/>
    <hyperlink xmlns:r="http://schemas.openxmlformats.org/officeDocument/2006/relationships" ref="H332" r:id="rId121"/>
    <hyperlink xmlns:r="http://schemas.openxmlformats.org/officeDocument/2006/relationships" ref="H334" r:id="rId122"/>
    <hyperlink xmlns:r="http://schemas.openxmlformats.org/officeDocument/2006/relationships" ref="H336" r:id="rId123"/>
    <hyperlink xmlns:r="http://schemas.openxmlformats.org/officeDocument/2006/relationships" ref="H337" r:id="rId124"/>
    <hyperlink xmlns:r="http://schemas.openxmlformats.org/officeDocument/2006/relationships" ref="H345" r:id="rId125"/>
    <hyperlink xmlns:r="http://schemas.openxmlformats.org/officeDocument/2006/relationships" ref="H352" r:id="rId126"/>
    <hyperlink xmlns:r="http://schemas.openxmlformats.org/officeDocument/2006/relationships" ref="H361" r:id="rId127"/>
    <hyperlink xmlns:r="http://schemas.openxmlformats.org/officeDocument/2006/relationships" ref="H365" r:id="rId128"/>
    <hyperlink xmlns:r="http://schemas.openxmlformats.org/officeDocument/2006/relationships" ref="H367" r:id="rId129"/>
    <hyperlink xmlns:r="http://schemas.openxmlformats.org/officeDocument/2006/relationships" ref="H370" r:id="rId130"/>
    <hyperlink xmlns:r="http://schemas.openxmlformats.org/officeDocument/2006/relationships" ref="H379" r:id="rId131"/>
    <hyperlink xmlns:r="http://schemas.openxmlformats.org/officeDocument/2006/relationships" ref="H381" r:id="rId132"/>
    <hyperlink xmlns:r="http://schemas.openxmlformats.org/officeDocument/2006/relationships" ref="H384" r:id="rId133"/>
    <hyperlink xmlns:r="http://schemas.openxmlformats.org/officeDocument/2006/relationships" ref="H385" r:id="rId134"/>
    <hyperlink xmlns:r="http://schemas.openxmlformats.org/officeDocument/2006/relationships" ref="H387" r:id="rId135"/>
    <hyperlink xmlns:r="http://schemas.openxmlformats.org/officeDocument/2006/relationships" ref="H388" r:id="rId136"/>
    <hyperlink xmlns:r="http://schemas.openxmlformats.org/officeDocument/2006/relationships" ref="H389" r:id="rId137"/>
    <hyperlink xmlns:r="http://schemas.openxmlformats.org/officeDocument/2006/relationships" ref="H390" r:id="rId138"/>
    <hyperlink xmlns:r="http://schemas.openxmlformats.org/officeDocument/2006/relationships" ref="H393" r:id="rId139"/>
    <hyperlink xmlns:r="http://schemas.openxmlformats.org/officeDocument/2006/relationships" ref="H394" r:id="rId140"/>
    <hyperlink xmlns:r="http://schemas.openxmlformats.org/officeDocument/2006/relationships" ref="H400" r:id="rId141"/>
    <hyperlink xmlns:r="http://schemas.openxmlformats.org/officeDocument/2006/relationships" ref="H402" r:id="rId142"/>
    <hyperlink xmlns:r="http://schemas.openxmlformats.org/officeDocument/2006/relationships" ref="H403" r:id="rId143"/>
    <hyperlink xmlns:r="http://schemas.openxmlformats.org/officeDocument/2006/relationships" ref="H406" r:id="rId144"/>
    <hyperlink xmlns:r="http://schemas.openxmlformats.org/officeDocument/2006/relationships" ref="H409" r:id="rId145"/>
    <hyperlink xmlns:r="http://schemas.openxmlformats.org/officeDocument/2006/relationships" ref="H410" r:id="rId146"/>
    <hyperlink xmlns:r="http://schemas.openxmlformats.org/officeDocument/2006/relationships" ref="H417" r:id="rId147"/>
    <hyperlink xmlns:r="http://schemas.openxmlformats.org/officeDocument/2006/relationships" ref="H418" r:id="rId148"/>
    <hyperlink xmlns:r="http://schemas.openxmlformats.org/officeDocument/2006/relationships" ref="H424" r:id="rId149"/>
    <hyperlink xmlns:r="http://schemas.openxmlformats.org/officeDocument/2006/relationships" ref="H425" r:id="rId150"/>
    <hyperlink xmlns:r="http://schemas.openxmlformats.org/officeDocument/2006/relationships" ref="H432" r:id="rId151"/>
    <hyperlink xmlns:r="http://schemas.openxmlformats.org/officeDocument/2006/relationships" ref="H436" r:id="rId152"/>
    <hyperlink xmlns:r="http://schemas.openxmlformats.org/officeDocument/2006/relationships" ref="H437" r:id="rId153"/>
    <hyperlink xmlns:r="http://schemas.openxmlformats.org/officeDocument/2006/relationships" ref="H442" r:id="rId154"/>
    <hyperlink xmlns:r="http://schemas.openxmlformats.org/officeDocument/2006/relationships" ref="H443" r:id="rId155"/>
    <hyperlink xmlns:r="http://schemas.openxmlformats.org/officeDocument/2006/relationships" ref="H444" r:id="rId156"/>
    <hyperlink xmlns:r="http://schemas.openxmlformats.org/officeDocument/2006/relationships" ref="H451" r:id="rId157"/>
    <hyperlink xmlns:r="http://schemas.openxmlformats.org/officeDocument/2006/relationships" ref="H452" r:id="rId158"/>
    <hyperlink xmlns:r="http://schemas.openxmlformats.org/officeDocument/2006/relationships" ref="H459" r:id="rId159"/>
    <hyperlink xmlns:r="http://schemas.openxmlformats.org/officeDocument/2006/relationships" ref="H460" r:id="rId160"/>
    <hyperlink xmlns:r="http://schemas.openxmlformats.org/officeDocument/2006/relationships" ref="H466" r:id="rId161"/>
    <hyperlink xmlns:r="http://schemas.openxmlformats.org/officeDocument/2006/relationships" ref="H467" r:id="rId162"/>
    <hyperlink xmlns:r="http://schemas.openxmlformats.org/officeDocument/2006/relationships" ref="H475" r:id="rId163"/>
    <hyperlink xmlns:r="http://schemas.openxmlformats.org/officeDocument/2006/relationships" ref="H477" r:id="rId164"/>
    <hyperlink xmlns:r="http://schemas.openxmlformats.org/officeDocument/2006/relationships" ref="H478" r:id="rId165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7" customWidth="1" min="2" max="2"/>
    <col width="34" customWidth="1" min="3" max="3"/>
    <col width="28" customWidth="1" min="4" max="4"/>
    <col width="22" customWidth="1" min="5" max="5"/>
    <col width="18" customWidth="1" min="6" max="6"/>
    <col width="36" customWidth="1" min="7" max="7"/>
    <col width="44" customWidth="1" min="8" max="8"/>
    <col width="15" customWidth="1" min="9" max="9"/>
    <col width="16" customWidth="1" min="10" max="10"/>
    <col width="30" customWidth="1" min="11" max="11"/>
  </cols>
  <sheetData>
    <row r="1" ht="28" customHeight="1">
      <c r="A1" s="69" t="inlineStr">
        <is>
          <t>기업/기관명</t>
        </is>
      </c>
      <c r="B1" s="69" t="inlineStr">
        <is>
          <t>카테고리/분야</t>
        </is>
      </c>
      <c r="C1" s="69" t="inlineStr">
        <is>
          <t>포지션 / 프로그램명</t>
        </is>
      </c>
      <c r="D1" s="69" t="inlineStr">
        <is>
          <t>타임라인 단계 (다가오는 순)</t>
        </is>
      </c>
      <c r="E1" s="69" t="inlineStr">
        <is>
          <t>접수 / 마감 일정</t>
        </is>
      </c>
      <c r="F1" s="69" t="inlineStr">
        <is>
          <t>근무 / 실습 기간</t>
        </is>
      </c>
      <c r="G1" s="69" t="inlineStr">
        <is>
          <t>지원 자격 및 핵심 요건 (UCL 기준)</t>
        </is>
      </c>
      <c r="H1" s="69" t="inlineStr">
        <is>
          <t>주요 업무 및 역량 매칭 포인트</t>
        </is>
      </c>
      <c r="I1" s="69" t="inlineStr">
        <is>
          <t>지원 상태</t>
        </is>
      </c>
      <c r="J1" s="69" t="inlineStr">
        <is>
          <t>우선순위</t>
        </is>
      </c>
      <c r="K1" s="69" t="inlineStr">
        <is>
          <t>공식 공고 / 지원 링크</t>
        </is>
      </c>
    </row>
    <row r="2" ht="40" customHeight="1">
      <c r="A2" s="70" t="inlineStr">
        <is>
          <t>UBS Korea</t>
        </is>
      </c>
      <c r="B2" s="71" t="inlineStr">
        <is>
          <t>외국계금융_IB</t>
        </is>
      </c>
      <c r="C2" s="72" t="inlineStr">
        <is>
          <t>2027 Graduate / Intern Talent Program (Global Markets / Global Research (여의도 오피스))</t>
        </is>
      </c>
      <c r="D2" s="71" t="inlineStr">
        <is>
          <t>1. 2026년 9월 마감 (긴급)</t>
        </is>
      </c>
      <c r="E2" s="71" t="inlineStr">
        <is>
          <t>2026.09.18 ~ 09.25</t>
        </is>
      </c>
      <c r="F2" s="71" t="inlineStr">
        <is>
          <t>정규/인턴 트랙</t>
        </is>
      </c>
      <c r="G2" s="72" t="inlineStr">
        <is>
          <t>국내외 대학 졸업(예정)자, 한국 시장 금융 데이터 분석 역량</t>
        </is>
      </c>
      <c r="H2" s="72" t="inlineStr">
        <is>
          <t>한국 주식/파생상품 세일즈 및 트레이딩 데스크 보조, 리서치 리포트 발간 지원
[선발 프로세스] 서류 심사 → 적성 검사 → 다면 화상 인터뷰</t>
        </is>
      </c>
      <c r="I2" s="73" t="inlineStr">
        <is>
          <t>미지원</t>
        </is>
      </c>
      <c r="J2" s="74" t="inlineStr">
        <is>
          <t>1순위 (최우선)</t>
        </is>
      </c>
      <c r="K2" s="75" t="inlineStr">
        <is>
          <t>https://www.ubs.com/global/en/careers.html</t>
        </is>
      </c>
    </row>
    <row r="3" ht="40" customHeight="1">
      <c r="A3" s="70" t="inlineStr">
        <is>
          <t>Morgan Stanley Seoul</t>
        </is>
      </c>
      <c r="B3" s="71" t="inlineStr">
        <is>
          <t>외국계금융_IB</t>
        </is>
      </c>
      <c r="C3" s="72" t="inlineStr">
        <is>
          <t>2027 Asia Summer Analyst Program (Quantitative Finance / Technology / Global Capital Markets / IBD / Equities)</t>
        </is>
      </c>
      <c r="D3" s="71" t="inlineStr">
        <is>
          <t>1. 2026년 9월 마감 (긴급)</t>
        </is>
      </c>
      <c r="E3" s="71" t="inlineStr">
        <is>
          <t>2026.09.27 (상시 심사)</t>
        </is>
      </c>
      <c r="F3" s="71" t="inlineStr">
        <is>
          <t>10~12주 (2027.06~08)</t>
        </is>
      </c>
      <c r="G3" s="72" t="inlineStr">
        <is>
          <t>2027.10 ~ 2028.07 졸업 예정 학사/석사 재학생 (2028년 6월 최적)</t>
        </is>
      </c>
      <c r="H3" s="72" t="inlineStr">
        <is>
          <t>정량 데이터 모델링, 주식/채권 시장 분석, 트레이딩 기술 인프라 지원
[선발 프로세스] 서류 심사 → 화상 면접 → Final Round → 오퍼</t>
        </is>
      </c>
      <c r="I3" s="73" t="inlineStr">
        <is>
          <t>미지원</t>
        </is>
      </c>
      <c r="J3" s="74" t="inlineStr">
        <is>
          <t>1순위 (최우선)</t>
        </is>
      </c>
      <c r="K3" s="75" t="inlineStr">
        <is>
          <t>https://www.morganstanley.com/people-opportunities/students-graduates</t>
        </is>
      </c>
    </row>
    <row r="4" ht="40" customHeight="1">
      <c r="A4" s="70" t="inlineStr">
        <is>
          <t>J.P. Morgan Seoul</t>
        </is>
      </c>
      <c r="B4" s="71" t="inlineStr">
        <is>
          <t>외국계금융_IB</t>
        </is>
      </c>
      <c r="C4" s="72" t="inlineStr">
        <is>
          <t>2027 Markets Summer Analyst (Research Track) (Commercial &amp; Investment Bank (Global Research))</t>
        </is>
      </c>
      <c r="D4" s="71" t="inlineStr">
        <is>
          <t>1. 2026년 9월 마감 (긴급)</t>
        </is>
      </c>
      <c r="E4" s="71" t="inlineStr">
        <is>
          <t>2026.09.30 (Rolling 선착순)</t>
        </is>
      </c>
      <c r="F4" s="71" t="inlineStr">
        <is>
          <t>9~10주 (2027 하계)</t>
        </is>
      </c>
      <c r="G4" s="72" t="inlineStr">
        <is>
          <t>페널티메이트(졸업 전년도) 재학생, 한국어 및 영어 능통자</t>
        </is>
      </c>
      <c r="H4" s="72" t="inlineStr">
        <is>
          <t>한국 거시경제/주식/채권 리서치 어시스턴트, 재무 및 계량 데이터 분석
[선발 프로세스] 서류 접수 → HireVue 비디오 면접 (30일 이내) → Superday 면접</t>
        </is>
      </c>
      <c r="I4" s="73" t="inlineStr">
        <is>
          <t>미지원</t>
        </is>
      </c>
      <c r="J4" s="74" t="inlineStr">
        <is>
          <t>1순위 (최우선)</t>
        </is>
      </c>
      <c r="K4" s="75" t="inlineStr">
        <is>
          <t>https://www.jpmorganchase.com/careers</t>
        </is>
      </c>
    </row>
    <row r="5" ht="40" customHeight="1">
      <c r="A5" s="76" t="inlineStr">
        <is>
          <t>Goldman Sachs Seoul</t>
        </is>
      </c>
      <c r="B5" s="77" t="inlineStr">
        <is>
          <t>외국계금융_IB</t>
        </is>
      </c>
      <c r="C5" s="78" t="inlineStr">
        <is>
          <t>2027 Summer Analyst Program (Global Markets / Investment Banking / Operations)</t>
        </is>
      </c>
      <c r="D5" s="77" t="inlineStr">
        <is>
          <t>2. 2026년 10월 마감 (긴급)</t>
        </is>
      </c>
      <c r="E5" s="77" t="inlineStr">
        <is>
          <t>2026.10.04</t>
        </is>
      </c>
      <c r="F5" s="77" t="inlineStr">
        <is>
          <t>9~11주 (2027 하계)</t>
        </is>
      </c>
      <c r="G5" s="78" t="inlineStr">
        <is>
          <t>학·석사 페널티메이트 재학생 (최대 4개 직무 복수 지원 가능)</t>
        </is>
      </c>
      <c r="H5" s="78" t="inlineStr">
        <is>
          <t>파생상품/주식/FICC 거래 지원, 시장 동향 정량 분석, 결제/운영 리스크 관리
[선발 프로세스] 온라인 지원 → HackerRank/HireVue → Superday 면접</t>
        </is>
      </c>
      <c r="I5" s="79" t="inlineStr">
        <is>
          <t>미지원</t>
        </is>
      </c>
      <c r="J5" s="80" t="inlineStr">
        <is>
          <t>1순위 (최우선)</t>
        </is>
      </c>
      <c r="K5" s="81" t="inlineStr">
        <is>
          <t>https://www.goldmansachs.com/careers/students/programs/</t>
        </is>
      </c>
    </row>
    <row r="6" ht="40" customHeight="1">
      <c r="A6" s="76" t="inlineStr">
        <is>
          <t>McKinsey &amp; Company Seoul</t>
        </is>
      </c>
      <c r="B6" s="77" t="inlineStr">
        <is>
          <t>전략컨설팅_RA</t>
        </is>
      </c>
      <c r="C6" s="78" t="inlineStr">
        <is>
          <t>Summer Business Analyst Intern</t>
        </is>
      </c>
      <c r="D6" s="77" t="inlineStr">
        <is>
          <t>2. 2026년 10월 마감 (긴급)</t>
        </is>
      </c>
      <c r="E6" s="77" t="inlineStr">
        <is>
          <t>매년 가을 공채 (페널티메이트)</t>
        </is>
      </c>
      <c r="F6" s="77" t="inlineStr">
        <is>
          <t>8~10주 (하계)</t>
        </is>
      </c>
      <c r="G6" s="78" t="inlineStr">
        <is>
          <t>학사 페널티메이트 재학생, 탁월한 문제 해결력</t>
        </is>
      </c>
      <c r="H6" s="78" t="inlineStr">
        <is>
          <t>클라이언트 전략 수립 지원, 가설 검증, 정량 데이터 모델링
[지원 방법] McKinsey Korea Careers</t>
        </is>
      </c>
      <c r="I6" s="79" t="inlineStr">
        <is>
          <t>미지원</t>
        </is>
      </c>
      <c r="J6" s="80" t="inlineStr">
        <is>
          <t>1순위 (최우선)</t>
        </is>
      </c>
      <c r="K6" s="81" t="inlineStr">
        <is>
          <t>https://www.mckinsey.com/kr/careers</t>
        </is>
      </c>
    </row>
    <row r="7" ht="40" customHeight="1">
      <c r="A7" s="76" t="inlineStr">
        <is>
          <t>Citigroup Seoul</t>
        </is>
      </c>
      <c r="B7" s="77" t="inlineStr">
        <is>
          <t>외국계금융_IB</t>
        </is>
      </c>
      <c r="C7" s="78" t="inlineStr">
        <is>
          <t>2027 Commercial Banking Summer Analyst (Commercial Banking / Corporate Banking)</t>
        </is>
      </c>
      <c r="D7" s="77" t="inlineStr">
        <is>
          <t>2. 2026년 10월 마감 (긴급)</t>
        </is>
      </c>
      <c r="E7" s="77" t="inlineStr">
        <is>
          <t>2026.10.30</t>
        </is>
      </c>
      <c r="F7" s="77" t="inlineStr">
        <is>
          <t>10주 (2027 하계)</t>
        </is>
      </c>
      <c r="G7" s="78" t="inlineStr">
        <is>
          <t>2027.12 ~ 2028.06 졸업예정자, 한국어/영어 능통자</t>
        </is>
      </c>
      <c r="H7" s="78" t="inlineStr">
        <is>
          <t>중견·대기업 여신 및 금융 솔루션 분석, 재무제표 및 산업 데이터 모델링
[선발 프로세스] 서류 심사 → 온라인 인적성/역량검사 → 실무/임원 면접</t>
        </is>
      </c>
      <c r="I7" s="79" t="inlineStr">
        <is>
          <t>미지원</t>
        </is>
      </c>
      <c r="J7" s="80" t="inlineStr">
        <is>
          <t>1순위 (최우선)</t>
        </is>
      </c>
      <c r="K7" s="81" t="inlineStr">
        <is>
          <t>https://jobs.citi.com/search-jobs/Seoul%2C%20South%20Korea/287/4/1835848-1835847/37x56667/126x97806/50/2</t>
        </is>
      </c>
    </row>
    <row r="8" ht="40" customHeight="1">
      <c r="A8" s="76" t="inlineStr">
        <is>
          <t>Citigroup Seoul</t>
        </is>
      </c>
      <c r="B8" s="77" t="inlineStr">
        <is>
          <t>외국계금융_IB</t>
        </is>
      </c>
      <c r="C8" s="78" t="inlineStr">
        <is>
          <t>2027 Investment Banking Summer Analyst (Banking - Investment Banking Division)</t>
        </is>
      </c>
      <c r="D8" s="77" t="inlineStr">
        <is>
          <t>2. 2026년 10월 마감 (긴급)</t>
        </is>
      </c>
      <c r="E8" s="77" t="inlineStr">
        <is>
          <t>2026.10.30</t>
        </is>
      </c>
      <c r="F8" s="77" t="inlineStr">
        <is>
          <t>10주 (2027 하계)</t>
        </is>
      </c>
      <c r="G8" s="78" t="inlineStr">
        <is>
          <t>페널티메이트 재학생, 재무 모델링(DCF/LBO) 기초 이해자</t>
        </is>
      </c>
      <c r="H8" s="78" t="inlineStr">
        <is>
          <t>M&amp;A 실사 보조, 기업 가치 평가(Valuation), 피치북 작성 지원
[선발 프로세스] 서류 심사 → 기술/인성 면접</t>
        </is>
      </c>
      <c r="I8" s="79" t="inlineStr">
        <is>
          <t>미지원</t>
        </is>
      </c>
      <c r="J8" s="80" t="inlineStr">
        <is>
          <t>1순위 (최우선)</t>
        </is>
      </c>
      <c r="K8" s="81" t="inlineStr">
        <is>
          <t>https://jobs.citi.com/search-jobs/Seoul%2C%20South%20Korea/287/4/1835848-1835847/37x56667/126x97806/50/2</t>
        </is>
      </c>
    </row>
    <row r="9" ht="40" customHeight="1">
      <c r="A9" s="82" t="inlineStr">
        <is>
          <t>딥오토 (DeepAuto)</t>
        </is>
      </c>
      <c r="B9" s="83" t="inlineStr">
        <is>
          <t>AI_Agent_LLM</t>
        </is>
      </c>
      <c r="C9" s="84" t="inlineStr">
        <is>
          <t>[인턴] Agentic AI Engineer</t>
        </is>
      </c>
      <c r="D9" s="83" t="inlineStr">
        <is>
          <t>3. 상시 / 즉시 지원 (ASAP)</t>
        </is>
      </c>
      <c r="E9" s="83" t="inlineStr">
        <is>
          <t>상시 채용 (ASAP)</t>
        </is>
      </c>
      <c r="F9" s="83" t="inlineStr">
        <is>
          <t>체험형/채용연계형 인턴</t>
        </is>
      </c>
      <c r="G9" s="84" t="inlineStr">
        <is>
          <t>[서울 강남구 역삼] Python, LangChain/LlamaIndex, LLM Prompting, MCP 도구 이해</t>
        </is>
      </c>
      <c r="H9" s="84" t="inlineStr">
        <is>
          <t>• 에이전트 프롬프트 및 토폴로지 최적화
• 평가 자동화 파이프라인 구축
• MCP (Model Context Protocol) Tool 통합
[규빈 님 매칭 포인트] MCP 연동 실무 경험 및 LLM 분류 파이프라인(κ=0.98) 구축 자산과 100% 일치</t>
        </is>
      </c>
      <c r="I9" s="85" t="inlineStr">
        <is>
          <t>미지원</t>
        </is>
      </c>
      <c r="J9" s="86" t="inlineStr">
        <is>
          <t>1순위 (최우선)</t>
        </is>
      </c>
      <c r="K9" s="87" t="inlineStr">
        <is>
          <t>https://www.wanted.co.kr/wd/293701</t>
        </is>
      </c>
    </row>
    <row r="10" ht="40" customHeight="1">
      <c r="A10" s="82" t="inlineStr">
        <is>
          <t>딥오토 (DeepAuto)</t>
        </is>
      </c>
      <c r="B10" s="83" t="inlineStr">
        <is>
          <t>AI_Agent_LLM</t>
        </is>
      </c>
      <c r="C10" s="84" t="inlineStr">
        <is>
          <t>[인턴] AI Engineer</t>
        </is>
      </c>
      <c r="D10" s="83" t="inlineStr">
        <is>
          <t>3. 상시 / 즉시 지원 (ASAP)</t>
        </is>
      </c>
      <c r="E10" s="83" t="inlineStr">
        <is>
          <t>상시 채용</t>
        </is>
      </c>
      <c r="F10" s="83" t="inlineStr">
        <is>
          <t>인턴십</t>
        </is>
      </c>
      <c r="G10" s="84" t="inlineStr">
        <is>
          <t>[서울 강남구 역삼] Python, PyTorch, 딥러닝 프로젝트 경험, LLM 서빙</t>
        </is>
      </c>
      <c r="H10" s="84" t="inlineStr">
        <is>
          <t>• 멀티모달 LLM/VLM 에이전트 설계 및 구현
• OCR, Document AI 모델 설계
• LLM 파인튜닝 및 강화학습(RL) 파이프라인
[규빈 님 매칭 포인트] Python 기반 엔드투엔드 파이프라인 구축 및 멀티모달 데이터 처리</t>
        </is>
      </c>
      <c r="I10" s="85" t="inlineStr">
        <is>
          <t>미지원</t>
        </is>
      </c>
      <c r="J10" s="86" t="inlineStr">
        <is>
          <t>1순위 (최우선)</t>
        </is>
      </c>
      <c r="K10" s="87" t="inlineStr">
        <is>
          <t>https://www.wanted.co.kr/wd/379363</t>
        </is>
      </c>
    </row>
    <row r="11" ht="40" customHeight="1">
      <c r="A11" s="82" t="inlineStr">
        <is>
          <t>딥오토 (DeepAuto)</t>
        </is>
      </c>
      <c r="B11" s="83" t="inlineStr">
        <is>
          <t>AI_Agent_LLM</t>
        </is>
      </c>
      <c r="C11" s="84" t="inlineStr">
        <is>
          <t>[인턴] MCP Engineer</t>
        </is>
      </c>
      <c r="D11" s="83" t="inlineStr">
        <is>
          <t>3. 상시 / 즉시 지원 (ASAP)</t>
        </is>
      </c>
      <c r="E11" s="83" t="inlineStr">
        <is>
          <t>상시 채용</t>
        </is>
      </c>
      <c r="F11" s="83" t="inlineStr">
        <is>
          <t>인턴십</t>
        </is>
      </c>
      <c r="G11" s="84" t="inlineStr">
        <is>
          <t>[서울 강남구 역삼] Python, REST/JSON-RPC, MCP 규격 이해</t>
        </is>
      </c>
      <c r="H11" s="84" t="inlineStr">
        <is>
          <t>• AI 에이전트 연동 Tool Software(MCP Server) 개발
• Python 라이브러리 및 API 연동 파이프라인 구축
[규빈 님 매칭 포인트] MCP Server 직접 연동 및 Zotero-API 자동화 경험 직결</t>
        </is>
      </c>
      <c r="I11" s="85" t="inlineStr">
        <is>
          <t>미지원</t>
        </is>
      </c>
      <c r="J11" s="86" t="inlineStr">
        <is>
          <t>1순위 (최우선)</t>
        </is>
      </c>
      <c r="K11" s="87" t="inlineStr">
        <is>
          <t>https://www.wanted.co.kr/wd/293704</t>
        </is>
      </c>
    </row>
    <row r="12" ht="40" customHeight="1">
      <c r="A12" s="82" t="inlineStr">
        <is>
          <t>뤼튼테크놀로지스</t>
        </is>
      </c>
      <c r="B12" s="83" t="inlineStr">
        <is>
          <t>AI_Agent_LLM</t>
        </is>
      </c>
      <c r="C12" s="84" t="inlineStr">
        <is>
          <t>[인턴] Internal Agent Builder</t>
        </is>
      </c>
      <c r="D12" s="83" t="inlineStr">
        <is>
          <t>3. 상시 / 즉시 지원 (ASAP)</t>
        </is>
      </c>
      <c r="E12" s="83" t="inlineStr">
        <is>
          <t>상시 채용</t>
        </is>
      </c>
      <c r="F12" s="83" t="inlineStr">
        <is>
          <t>3개월 인턴 (정규 전환 가능)</t>
        </is>
      </c>
      <c r="G12" s="84" t="inlineStr">
        <is>
          <t>[서울 강남구] Python 또는 Node.js 프로그래밍, LLM API 활용 생산성 도구 구현</t>
        </is>
      </c>
      <c r="H12" s="84" t="inlineStr">
        <is>
          <t>• 사내 비즈니스 업무 자동화를 위한 내부 AI 에이전트 개발
• 다양한 최신 LLM API 연동 및 워크플로우 구축
[규빈 님 매칭 포인트] Zotero-LLM API 연동 및 자동화 에이전트 워크플로우 구현 경험</t>
        </is>
      </c>
      <c r="I12" s="85" t="inlineStr">
        <is>
          <t>미지원</t>
        </is>
      </c>
      <c r="J12" s="86" t="inlineStr">
        <is>
          <t>1순위 (최우선)</t>
        </is>
      </c>
      <c r="K12" s="87" t="inlineStr">
        <is>
          <t>https://www.wanted.co.kr/company/18629</t>
        </is>
      </c>
    </row>
    <row r="13" ht="40" customHeight="1">
      <c r="A13" s="82" t="inlineStr">
        <is>
          <t>노타 (Nota AI)</t>
        </is>
      </c>
      <c r="B13" s="83" t="inlineStr">
        <is>
          <t>AI_Agent_LLM</t>
        </is>
      </c>
      <c r="C13" s="84" t="inlineStr">
        <is>
          <t>[인턴] NetsPresso R&amp;D AI Engineer</t>
        </is>
      </c>
      <c r="D13" s="83" t="inlineStr">
        <is>
          <t>3. 상시 / 즉시 지원 (ASAP)</t>
        </is>
      </c>
      <c r="E13" s="83" t="inlineStr">
        <is>
          <t>상시 채용</t>
        </is>
      </c>
      <c r="F13" s="83" t="inlineStr">
        <is>
          <t>3~6개월 인턴십</t>
        </is>
      </c>
      <c r="G13" s="84" t="inlineStr">
        <is>
          <t>[서울 강남구] PyTorch, ONNX, ExecuTorch, 딥러닝 모델 경량화(Quantization)</t>
        </is>
      </c>
      <c r="H13" s="84" t="inlineStr">
        <is>
          <t>• 내부 IR(Intermediate Representation) 개발
• PyTorch/ONNX 모델 변환 및 경량화
• On-device AI 가속화 프레임워크 최적화
[규빈 님 매칭 포인트] PyTorch 모델링 및 효율적 알고리즘 튜닝 역량</t>
        </is>
      </c>
      <c r="I13" s="85" t="inlineStr">
        <is>
          <t>미지원</t>
        </is>
      </c>
      <c r="J13" s="83" t="inlineStr">
        <is>
          <t>2순위 (유력)</t>
        </is>
      </c>
      <c r="K13" s="87" t="inlineStr">
        <is>
          <t>https://www.wanted.co.kr/search?query=%EB%85%B8%ED%83%80%20NetsPresso</t>
        </is>
      </c>
    </row>
    <row r="14" ht="40" customHeight="1">
      <c r="A14" s="82" t="inlineStr">
        <is>
          <t>업스테이지 (Upstage)</t>
        </is>
      </c>
      <c r="B14" s="83" t="inlineStr">
        <is>
          <t>AI_Agent_LLM</t>
        </is>
      </c>
      <c r="C14" s="84" t="inlineStr">
        <is>
          <t>[인턴] AI Engineer (LLM / Agent)</t>
        </is>
      </c>
      <c r="D14" s="83" t="inlineStr">
        <is>
          <t>3. 상시 / 즉시 지원 (ASAP)</t>
        </is>
      </c>
      <c r="E14" s="83" t="inlineStr">
        <is>
          <t>수시 채용</t>
        </is>
      </c>
      <c r="F14" s="83" t="inlineStr">
        <is>
          <t>3~6개월 인턴십</t>
        </is>
      </c>
      <c r="G14" s="84" t="inlineStr">
        <is>
          <t>[서울 / 원격 병행] Python, PyTorch, HuggingFace, LLM Fine-tuning 및 모델 벤치마크</t>
        </is>
      </c>
      <c r="H14" s="84" t="inlineStr">
        <is>
          <t>• Solar 기반 AI 에이전트 워크플로우 설계
• vLLM 기반 고성능 추론 최적화 및 모델 평가
• Document AI 데이터셋 구축
[규빈 님 매칭 포인트] 대규모 논문/문서 데이터 LLM 자동 평가 및 벤치마킹 분석 역량</t>
        </is>
      </c>
      <c r="I14" s="85" t="inlineStr">
        <is>
          <t>미지원</t>
        </is>
      </c>
      <c r="J14" s="83" t="inlineStr">
        <is>
          <t>2순위 (유력)</t>
        </is>
      </c>
      <c r="K14" s="87" t="inlineStr">
        <is>
          <t>https://www.wanted.co.kr/search?query=%EC%97%85%EC%8A%A4%ED%85%8C%EC%9D%B4%EC%A7%80%20%EC%9D%B8%ED%84%B4</t>
        </is>
      </c>
    </row>
    <row r="15" ht="40" customHeight="1">
      <c r="A15" s="82" t="inlineStr">
        <is>
          <t>채널코퍼레이션 (채널톡)</t>
        </is>
      </c>
      <c r="B15" s="83" t="inlineStr">
        <is>
          <t>AI_Agent_LLM</t>
        </is>
      </c>
      <c r="C15" s="84" t="inlineStr">
        <is>
          <t>[인턴] Machine Learning Engineer</t>
        </is>
      </c>
      <c r="D15" s="83" t="inlineStr">
        <is>
          <t>3. 상시 / 즉시 지원 (ASAP)</t>
        </is>
      </c>
      <c r="E15" s="83" t="inlineStr">
        <is>
          <t>상시 채용</t>
        </is>
      </c>
      <c r="F15" s="83" t="inlineStr">
        <is>
          <t>인턴십</t>
        </is>
      </c>
      <c r="G15" s="84" t="inlineStr">
        <is>
          <t>[서울 강남구] Python, ML/DL 기본기, NLP/LLM 프로젝트, RAG 지식</t>
        </is>
      </c>
      <c r="H15" s="84" t="inlineStr">
        <is>
          <t>• 고객 상담 자동화 AI Agent 설계
• 데이터 전처리 및 학습 파이프라인 구현
• 멀티모달 검색 및 RAG 시스템 고도화
[규빈 님 매칭 포인트] 비정형 텍스트 처리 및 고신뢰도 RAG/QA 검색 시스템 파이프라인</t>
        </is>
      </c>
      <c r="I15" s="85" t="inlineStr">
        <is>
          <t>미지원</t>
        </is>
      </c>
      <c r="J15" s="83" t="inlineStr">
        <is>
          <t>2순위 (유력)</t>
        </is>
      </c>
      <c r="K15" s="87" t="inlineStr">
        <is>
          <t>https://www.wanted.co.kr/search?query=%EC%B1%84%EB%84%80%EC%BD%94%ED%8D%BC%EB%A0%88%EC%9D%B4%EC%85%98%20%EC%9D%B8%ED%84%B4</t>
        </is>
      </c>
    </row>
    <row r="16" ht="40" customHeight="1">
      <c r="A16" s="82" t="inlineStr">
        <is>
          <t>피카부랩스</t>
        </is>
      </c>
      <c r="B16" s="83" t="inlineStr">
        <is>
          <t>AI_Agent_LLM</t>
        </is>
      </c>
      <c r="C16" s="84" t="inlineStr">
        <is>
          <t>[인턴] AI 엔지니어</t>
        </is>
      </c>
      <c r="D16" s="83" t="inlineStr">
        <is>
          <t>3. 상시 / 즉시 지원 (ASAP)</t>
        </is>
      </c>
      <c r="E16" s="83" t="inlineStr">
        <is>
          <t>상시 채용</t>
        </is>
      </c>
      <c r="F16" s="83" t="inlineStr">
        <is>
          <t>인턴십</t>
        </is>
      </c>
      <c r="G16" s="84" t="inlineStr">
        <is>
          <t>[서울] Python, PyTorch/TensorFlow, 학부 3학년 이상 재학생</t>
        </is>
      </c>
      <c r="H16" s="84" t="inlineStr">
        <is>
          <t>• sLLM 활용 의도(Intent) 추출 모델 설계
• 자연어 명령-액션 변환 모델 학습
• ONNX 온디바이스 모델 최적화
[규빈 님 매칭 포인트] 인지/언어학(Language Sciences) 기반 자연어 처리 이해도</t>
        </is>
      </c>
      <c r="I16" s="85" t="inlineStr">
        <is>
          <t>미지원</t>
        </is>
      </c>
      <c r="J16" s="83" t="inlineStr">
        <is>
          <t>2순위 (유력)</t>
        </is>
      </c>
      <c r="K16" s="87" t="inlineStr">
        <is>
          <t>https://www.wanted.co.kr/search?query=%ED%94%BC%EC%B9%B4%EB%B6%80%EB%9E%A9%EC%8A%A4</t>
        </is>
      </c>
    </row>
    <row r="17" ht="40" customHeight="1">
      <c r="A17" s="82" t="inlineStr">
        <is>
          <t>당근 (Daangn)</t>
        </is>
      </c>
      <c r="B17" s="83" t="inlineStr">
        <is>
          <t>데이터사이언스</t>
        </is>
      </c>
      <c r="C17" s="84" t="inlineStr">
        <is>
          <t>AI-Driven Data Analyst (인턴) [Data Analyst]</t>
        </is>
      </c>
      <c r="D17" s="83" t="inlineStr">
        <is>
          <t>3. 상시 / 즉시 지원 (ASAP)</t>
        </is>
      </c>
      <c r="E17" s="83" t="inlineStr">
        <is>
          <t>상시 (ASAP)</t>
        </is>
      </c>
      <c r="F17" s="83" t="inlineStr">
        <is>
          <t>3~6개월</t>
        </is>
      </c>
      <c r="G17" s="84" t="inlineStr">
        <is>
          <t>SQL, Python, A/B Test 통계 검증</t>
        </is>
      </c>
      <c r="H17" s="84" t="inlineStr">
        <is>
          <t>지표 체계 수립, 이상 탐지 모델, A/B 테스트 가설 검증
[도메인 및 비즈니스 특징] 하이퍼로컬 플랫폼 / 머신러닝 실험</t>
        </is>
      </c>
      <c r="I17" s="85" t="inlineStr">
        <is>
          <t>미지원</t>
        </is>
      </c>
      <c r="J17" s="86" t="inlineStr">
        <is>
          <t>1순위 (최우선)</t>
        </is>
      </c>
      <c r="K17" s="87" t="inlineStr">
        <is>
          <t>https://www.superookie.com/jobs?keyword=%EB%8B%B9%EA%B7%BC</t>
        </is>
      </c>
    </row>
    <row r="18" ht="40" customHeight="1">
      <c r="A18" s="82" t="inlineStr">
        <is>
          <t>당근 (Daangn)</t>
        </is>
      </c>
      <c r="B18" s="83" t="inlineStr">
        <is>
          <t>데이터사이언스</t>
        </is>
      </c>
      <c r="C18" s="84" t="inlineStr">
        <is>
          <t>Cross Product Growth DA (인턴) [Data Analyst]</t>
        </is>
      </c>
      <c r="D18" s="83" t="inlineStr">
        <is>
          <t>3. 상시 / 즉시 지원 (ASAP)</t>
        </is>
      </c>
      <c r="E18" s="83" t="inlineStr">
        <is>
          <t>상시 (ASAP)</t>
        </is>
      </c>
      <c r="F18" s="83" t="inlineStr">
        <is>
          <t>3~6개월</t>
        </is>
      </c>
      <c r="G18" s="84" t="inlineStr">
        <is>
          <t>고급 SQL 쿼리, 시각화 대시보드</t>
        </is>
      </c>
      <c r="H18" s="84" t="inlineStr">
        <is>
          <t>그로스 퍼널 분석, 유저 행동 데이터 코호트 분석
[도메인 및 비즈니스 특징] 프로덕트 성장 전략</t>
        </is>
      </c>
      <c r="I18" s="85" t="inlineStr">
        <is>
          <t>미지원</t>
        </is>
      </c>
      <c r="J18" s="86" t="inlineStr">
        <is>
          <t>1순위 (최우선)</t>
        </is>
      </c>
      <c r="K18" s="87" t="inlineStr">
        <is>
          <t>https://www.superookie.com/jobs?keyword=%EB%8B%B9%EA%B7%BC</t>
        </is>
      </c>
    </row>
    <row r="19" ht="40" customHeight="1">
      <c r="A19" s="82" t="inlineStr">
        <is>
          <t>매스프레소 (콴다)</t>
        </is>
      </c>
      <c r="B19" s="83" t="inlineStr">
        <is>
          <t>데이터사이언스</t>
        </is>
      </c>
      <c r="C19" s="84" t="inlineStr">
        <is>
          <t>[인턴] Data Analyst [Data Analyst]</t>
        </is>
      </c>
      <c r="D19" s="83" t="inlineStr">
        <is>
          <t>3. 상시 / 즉시 지원 (ASAP)</t>
        </is>
      </c>
      <c r="E19" s="83" t="inlineStr">
        <is>
          <t>상시 채용</t>
        </is>
      </c>
      <c r="F19" s="83" t="inlineStr">
        <is>
          <t>3~6개월 (전환 가능)</t>
        </is>
      </c>
      <c r="G19" s="84" t="inlineStr">
        <is>
          <t>Google BigQuery(SQL), Python/R</t>
        </is>
      </c>
      <c r="H19" s="84" t="inlineStr">
        <is>
          <t>BigQuery 활용 대규모 학습 로그 분석, 지표 정의
[도메인 및 비즈니스 특징] 글로벌 에듀테크 / 정규직 전환 검토</t>
        </is>
      </c>
      <c r="I19" s="85" t="inlineStr">
        <is>
          <t>미지원</t>
        </is>
      </c>
      <c r="J19" s="86" t="inlineStr">
        <is>
          <t>1순위 (최우선)</t>
        </is>
      </c>
      <c r="K19" s="87" t="inlineStr">
        <is>
          <t>https://www.wanted.co.kr/company/1258</t>
        </is>
      </c>
    </row>
    <row r="20" ht="40" customHeight="1">
      <c r="A20" s="82" t="inlineStr">
        <is>
          <t>플렉스 (flex)</t>
        </is>
      </c>
      <c r="B20" s="83" t="inlineStr">
        <is>
          <t>데이터사이언스</t>
        </is>
      </c>
      <c r="C20" s="84" t="inlineStr">
        <is>
          <t>Data Analyst Intern (채용연계형) [Data Analyst]</t>
        </is>
      </c>
      <c r="D20" s="83" t="inlineStr">
        <is>
          <t>3. 상시 / 즉시 지원 (ASAP)</t>
        </is>
      </c>
      <c r="E20" s="83" t="inlineStr">
        <is>
          <t>상시 채용</t>
        </is>
      </c>
      <c r="F20" s="83" t="inlineStr">
        <is>
          <t>6개월</t>
        </is>
      </c>
      <c r="G20" s="84" t="inlineStr">
        <is>
          <t>SQL, Tableau, 데이터 마트 모델링</t>
        </is>
      </c>
      <c r="H20" s="84" t="inlineStr">
        <is>
          <t>B2B SaaS 지표 정의, Tableau 대시보드, 퍼널 분석
[도메인 및 비즈니스 특징] HR Tech SaaS</t>
        </is>
      </c>
      <c r="I20" s="85" t="inlineStr">
        <is>
          <t>미지원</t>
        </is>
      </c>
      <c r="J20" s="86" t="inlineStr">
        <is>
          <t>1순위 (최우선)</t>
        </is>
      </c>
      <c r="K20" s="87" t="inlineStr">
        <is>
          <t>https://www.superookie.com/jobs?keyword=%ED%94%8C%EB%A0%89%EC%8A%A4</t>
        </is>
      </c>
    </row>
    <row r="21" ht="40" customHeight="1">
      <c r="A21" s="82" t="inlineStr">
        <is>
          <t>AWS Korea</t>
        </is>
      </c>
      <c r="B21" s="83" t="inlineStr">
        <is>
          <t>데이터사이언스</t>
        </is>
      </c>
      <c r="C21" s="84" t="inlineStr">
        <is>
          <t>Sales Ops Analyst Intern [Business / Ops Analyst]</t>
        </is>
      </c>
      <c r="D21" s="83" t="inlineStr">
        <is>
          <t>3. 상시 / 즉시 지원 (ASAP)</t>
        </is>
      </c>
      <c r="E21" s="83" t="inlineStr">
        <is>
          <t>상시 (ASAP 마감)</t>
        </is>
      </c>
      <c r="F21" s="83" t="inlineStr">
        <is>
          <t>6개월 (풀타임)</t>
        </is>
      </c>
      <c r="G21" s="84" t="inlineStr">
        <is>
          <t>Excel, SQL, 영문/국문 커뮤니케이션 능통</t>
        </is>
      </c>
      <c r="H21" s="84" t="inlineStr">
        <is>
          <t>SAS 영업 운영 데이터 정량 분석, 프로세스 자동화 리포팅
[도메인 및 비즈니스 특징] 글로벌 클라우드 세일즈</t>
        </is>
      </c>
      <c r="I21" s="85" t="inlineStr">
        <is>
          <t>미지원</t>
        </is>
      </c>
      <c r="J21" s="83" t="inlineStr">
        <is>
          <t>2순위 (유력)</t>
        </is>
      </c>
      <c r="K21" s="87" t="inlineStr">
        <is>
          <t>https://www.amazon.jobs/en/locations/seoul-south-korea</t>
        </is>
      </c>
    </row>
    <row r="22" ht="40" customHeight="1">
      <c r="A22" s="82" t="inlineStr">
        <is>
          <t>Coupang</t>
        </is>
      </c>
      <c r="B22" s="83" t="inlineStr">
        <is>
          <t>데이터사이언스</t>
        </is>
      </c>
      <c r="C22" s="84" t="inlineStr">
        <is>
          <t>Junior Business Analyst (Catalog Quality) [Business Analyst]</t>
        </is>
      </c>
      <c r="D22" s="83" t="inlineStr">
        <is>
          <t>3. 상시 / 즉시 지원 (ASAP)</t>
        </is>
      </c>
      <c r="E22" s="83" t="inlineStr">
        <is>
          <t>수시 채용</t>
        </is>
      </c>
      <c r="F22" s="83" t="inlineStr">
        <is>
          <t>정규직 / 주니어</t>
        </is>
      </c>
      <c r="G22" s="84" t="inlineStr">
        <is>
          <t>SQL, Python 자동화, 문제 해결력</t>
        </is>
      </c>
      <c r="H22" s="84" t="inlineStr">
        <is>
          <t>카탈로그 운영 데이터 분석, 품질 이상 탐지 모델 모니터링
[도메인 및 비즈니스 특징] 글로벌 이커머스</t>
        </is>
      </c>
      <c r="I22" s="85" t="inlineStr">
        <is>
          <t>미지원</t>
        </is>
      </c>
      <c r="J22" s="83" t="inlineStr">
        <is>
          <t>2순위 (유력)</t>
        </is>
      </c>
      <c r="K22" s="87" t="inlineStr">
        <is>
          <t>https://www.coupang.jobs/</t>
        </is>
      </c>
    </row>
    <row r="23" ht="40" customHeight="1">
      <c r="A23" s="82" t="inlineStr">
        <is>
          <t>레브잇 (올웨이즈)</t>
        </is>
      </c>
      <c r="B23" s="83" t="inlineStr">
        <is>
          <t>데이터사이언스</t>
        </is>
      </c>
      <c r="C23" s="84" t="inlineStr">
        <is>
          <t>[인턴] Data Analyst [Data Analyst]</t>
        </is>
      </c>
      <c r="D23" s="83" t="inlineStr">
        <is>
          <t>3. 상시 / 즉시 지원 (ASAP)</t>
        </is>
      </c>
      <c r="E23" s="83" t="inlineStr">
        <is>
          <t>상시 채용</t>
        </is>
      </c>
      <c r="F23" s="83" t="inlineStr">
        <is>
          <t>3~6개월</t>
        </is>
      </c>
      <c r="G23" s="84" t="inlineStr">
        <is>
          <t>SQL, 수리통계학 기반 분석</t>
        </is>
      </c>
      <c r="H23" s="84" t="inlineStr">
        <is>
          <t>대규모 사용자 행동 로그 분석, 리텐션 분석
[도메인 및 비즈니스 특징] 초고속 성장 모바일 커머스</t>
        </is>
      </c>
      <c r="I23" s="85" t="inlineStr">
        <is>
          <t>미지원</t>
        </is>
      </c>
      <c r="J23" s="83" t="inlineStr">
        <is>
          <t>2순위 (유력)</t>
        </is>
      </c>
      <c r="K23" s="87" t="inlineStr">
        <is>
          <t>https://www.wanted.co.kr/search?query=%EB%A0%88%EB%8Ext%EC%9E%87%20Data%20Analyst</t>
        </is>
      </c>
    </row>
    <row r="24" ht="40" customHeight="1">
      <c r="A24" s="82" t="inlineStr">
        <is>
          <t>번개장터</t>
        </is>
      </c>
      <c r="B24" s="83" t="inlineStr">
        <is>
          <t>데이터사이언스</t>
        </is>
      </c>
      <c r="C24" s="84" t="inlineStr">
        <is>
          <t>Data Analytics 체험형 인턴 [Data Analyst]</t>
        </is>
      </c>
      <c r="D24" s="83" t="inlineStr">
        <is>
          <t>3. 상시 / 즉시 지원 (ASAP)</t>
        </is>
      </c>
      <c r="E24" s="83" t="inlineStr">
        <is>
          <t>상시 채용</t>
        </is>
      </c>
      <c r="F24" s="83" t="inlineStr">
        <is>
          <t>3~6개월</t>
        </is>
      </c>
      <c r="G24" s="84" t="inlineStr">
        <is>
          <t>고급 SQL, 정량 데이터 가설 검정</t>
        </is>
      </c>
      <c r="H24" s="84" t="inlineStr">
        <is>
          <t>C2C 거래 및 검색 행동 데이터 분석, 정량 코호트 분석
[도메인 및 비즈니스 특징] 중고거래 플랫폼</t>
        </is>
      </c>
      <c r="I24" s="85" t="inlineStr">
        <is>
          <t>미지원</t>
        </is>
      </c>
      <c r="J24" s="83" t="inlineStr">
        <is>
          <t>2순위 (유력)</t>
        </is>
      </c>
      <c r="K24" s="87" t="inlineStr">
        <is>
          <t>https://www.superookie.com/jobs?keyword=%EB%8B%B9%EA%B7%BC</t>
        </is>
      </c>
    </row>
    <row r="25" ht="40" customHeight="1">
      <c r="A25" s="82" t="inlineStr">
        <is>
          <t>쏘카 (SOCAR)</t>
        </is>
      </c>
      <c r="B25" s="83" t="inlineStr">
        <is>
          <t>데이터사이언스</t>
        </is>
      </c>
      <c r="C25" s="84" t="inlineStr">
        <is>
          <t>Data Scientist 인턴 (수요예측/배치) [Data Scientist]</t>
        </is>
      </c>
      <c r="D25" s="83" t="inlineStr">
        <is>
          <t>3. 상시 / 즉시 지원 (ASAP)</t>
        </is>
      </c>
      <c r="E25" s="83" t="inlineStr">
        <is>
          <t>상시 채용</t>
        </is>
      </c>
      <c r="F25" s="83" t="inlineStr">
        <is>
          <t>6개월 (풀타임)</t>
        </is>
      </c>
      <c r="G25" s="84" t="inlineStr">
        <is>
          <t>Python, SQL, 머신러닝 예측 모델</t>
        </is>
      </c>
      <c r="H25" s="84" t="inlineStr">
        <is>
          <t>카셰어링 수요 예측, 동적 가격 결정(Pricing) 알고리즘
[도메인 및 비즈니스 특징] 모빌리티 최적화</t>
        </is>
      </c>
      <c r="I25" s="85" t="inlineStr">
        <is>
          <t>미지원</t>
        </is>
      </c>
      <c r="J25" s="83" t="inlineStr">
        <is>
          <t>2순위 (유력)</t>
        </is>
      </c>
      <c r="K25" s="87" t="inlineStr">
        <is>
          <t>https://www.wanted.co.kr/company/5251</t>
        </is>
      </c>
    </row>
    <row r="26" ht="40" customHeight="1">
      <c r="A26" s="82" t="inlineStr">
        <is>
          <t>와이즐리 (Wisely)</t>
        </is>
      </c>
      <c r="B26" s="83" t="inlineStr">
        <is>
          <t>데이터사이언스</t>
        </is>
      </c>
      <c r="C26" s="84" t="inlineStr">
        <is>
          <t>[인턴] 데이터 분석가 [Data Analyst]</t>
        </is>
      </c>
      <c r="D26" s="83" t="inlineStr">
        <is>
          <t>3. 상시 / 즉시 지원 (ASAP)</t>
        </is>
      </c>
      <c r="E26" s="83" t="inlineStr">
        <is>
          <t>상시 채용</t>
        </is>
      </c>
      <c r="F26" s="83" t="inlineStr">
        <is>
          <t>3~6개월</t>
        </is>
      </c>
      <c r="G26" s="84" t="inlineStr">
        <is>
          <t>SQL, Python/R, 회귀분석/가설검정</t>
        </is>
      </c>
      <c r="H26" s="84" t="inlineStr">
        <is>
          <t>구독/수요 예측 모델링, A/B 테스트 정량 통계 분석
[도메인 및 비즈니스 특징] D2C 커머스</t>
        </is>
      </c>
      <c r="I26" s="85" t="inlineStr">
        <is>
          <t>미지원</t>
        </is>
      </c>
      <c r="J26" s="83" t="inlineStr">
        <is>
          <t>2순위 (유력)</t>
        </is>
      </c>
      <c r="K26" s="87" t="inlineStr">
        <is>
          <t>https://www.wanted.co.kr/search?query=%EC%99%80%EC%9D%B4%EC%A6%90%EB%A6%AC%20%EB%8D%B0%EC%9D%B4%ED%84%B0</t>
        </is>
      </c>
    </row>
    <row r="27" ht="40" customHeight="1">
      <c r="A27" s="82" t="inlineStr">
        <is>
          <t>원티드랩</t>
        </is>
      </c>
      <c r="B27" s="83" t="inlineStr">
        <is>
          <t>데이터사이언스</t>
        </is>
      </c>
      <c r="C27" s="84" t="inlineStr">
        <is>
          <t>[인턴] 데이터 사이언티스트 (AI기술팀) [Data Scientist]</t>
        </is>
      </c>
      <c r="D27" s="83" t="inlineStr">
        <is>
          <t>3. 상시 / 즉시 지원 (ASAP)</t>
        </is>
      </c>
      <c r="E27" s="83" t="inlineStr">
        <is>
          <t>상시 채용</t>
        </is>
      </c>
      <c r="F27" s="83" t="inlineStr">
        <is>
          <t>3~6개월</t>
        </is>
      </c>
      <c r="G27" s="84" t="inlineStr">
        <is>
          <t>Python, SQL, 머신러닝 기초 이론</t>
        </is>
      </c>
      <c r="H27" s="84" t="inlineStr">
        <is>
          <t>채용 매칭/추천 알고리즘 설계, 커리어 데이터 예측 모델
[도메인 및 비즈니스 특징] AI 커리어 플랫폼</t>
        </is>
      </c>
      <c r="I27" s="85" t="inlineStr">
        <is>
          <t>미지원</t>
        </is>
      </c>
      <c r="J27" s="83" t="inlineStr">
        <is>
          <t>2순위 (유력)</t>
        </is>
      </c>
      <c r="K27" s="87" t="inlineStr">
        <is>
          <t>https://www.wanted.co.kr/company/10499</t>
        </is>
      </c>
    </row>
    <row r="28" ht="40" customHeight="1">
      <c r="A28" s="82" t="inlineStr">
        <is>
          <t>원티드랩</t>
        </is>
      </c>
      <c r="B28" s="83" t="inlineStr">
        <is>
          <t>데이터사이언스</t>
        </is>
      </c>
      <c r="C28" s="84" t="inlineStr">
        <is>
          <t>[인턴] 데이터 분석가 [Data Analyst]</t>
        </is>
      </c>
      <c r="D28" s="83" t="inlineStr">
        <is>
          <t>3. 상시 / 즉시 지원 (ASAP)</t>
        </is>
      </c>
      <c r="E28" s="83" t="inlineStr">
        <is>
          <t>상시 채용</t>
        </is>
      </c>
      <c r="F28" s="83" t="inlineStr">
        <is>
          <t>3~6개월</t>
        </is>
      </c>
      <c r="G28" s="84" t="inlineStr">
        <is>
          <t>SQL, Python/R, 대시보드 시각화</t>
        </is>
      </c>
      <c r="H28" s="84" t="inlineStr">
        <is>
          <t>전사 DB SQL 추출, 비즈니스 의사결정 대시보드 구축
[도메인 및 비즈니스 특징] 전사 비즈니스 KPI 관리</t>
        </is>
      </c>
      <c r="I28" s="85" t="inlineStr">
        <is>
          <t>미지원</t>
        </is>
      </c>
      <c r="J28" s="83" t="inlineStr">
        <is>
          <t>2순위 (유력)</t>
        </is>
      </c>
      <c r="K28" s="87" t="inlineStr">
        <is>
          <t>https://www.wanted.co.kr/company/10499</t>
        </is>
      </c>
    </row>
    <row r="29" ht="40" customHeight="1">
      <c r="A29" s="82" t="inlineStr">
        <is>
          <t>컬리 (Market Kurly)</t>
        </is>
      </c>
      <c r="B29" s="83" t="inlineStr">
        <is>
          <t>데이터사이언스</t>
        </is>
      </c>
      <c r="C29" s="84" t="inlineStr">
        <is>
          <t>고객전략팀 데이터 분석 인턴 [Data Analyst]</t>
        </is>
      </c>
      <c r="D29" s="83" t="inlineStr">
        <is>
          <t>3. 상시 / 즉시 지원 (ASAP)</t>
        </is>
      </c>
      <c r="E29" s="83" t="inlineStr">
        <is>
          <t>상시 채용</t>
        </is>
      </c>
      <c r="F29" s="83" t="inlineStr">
        <is>
          <t>3개월</t>
        </is>
      </c>
      <c r="G29" s="84" t="inlineStr">
        <is>
          <t>R, Python, Excel, 고객 분석</t>
        </is>
      </c>
      <c r="H29" s="84" t="inlineStr">
        <is>
          <t>고객 세그멘테이션, 프로모션 반응률 예측, 실험 설계
[도메인 및 비즈니스 특징] 리테일 / 이커머스</t>
        </is>
      </c>
      <c r="I29" s="85" t="inlineStr">
        <is>
          <t>미지원</t>
        </is>
      </c>
      <c r="J29" s="83" t="inlineStr">
        <is>
          <t>2순위 (유력)</t>
        </is>
      </c>
      <c r="K29" s="87" t="inlineStr">
        <is>
          <t>https://www.superookie.com/jobs?keyword=%EC%BB%AC%EB%A6%AC</t>
        </is>
      </c>
    </row>
    <row r="30" ht="40" customHeight="1">
      <c r="A30" s="82" t="inlineStr">
        <is>
          <t>클래스101</t>
        </is>
      </c>
      <c r="B30" s="83" t="inlineStr">
        <is>
          <t>데이터사이언스</t>
        </is>
      </c>
      <c r="C30" s="84" t="inlineStr">
        <is>
          <t>[인턴] Data Analyst [Data Analyst]</t>
        </is>
      </c>
      <c r="D30" s="83" t="inlineStr">
        <is>
          <t>3. 상시 / 즉시 지원 (ASAP)</t>
        </is>
      </c>
      <c r="E30" s="83" t="inlineStr">
        <is>
          <t>상시 채용</t>
        </is>
      </c>
      <c r="F30" s="83" t="inlineStr">
        <is>
          <t>3~6개월</t>
        </is>
      </c>
      <c r="G30" s="84" t="inlineStr">
        <is>
          <t>SQL 쿼리 작성, 데이터 가공</t>
        </is>
      </c>
      <c r="H30" s="84" t="inlineStr">
        <is>
          <t>로그 정합성 검증, A/B 테스트 설계, 데이터 마트 모델링
[도메인 및 비즈니스 특징] 글로벌 구독 플랫폼</t>
        </is>
      </c>
      <c r="I30" s="85" t="inlineStr">
        <is>
          <t>미지원</t>
        </is>
      </c>
      <c r="J30" s="83" t="inlineStr">
        <is>
          <t>2순위 (유력)</t>
        </is>
      </c>
      <c r="K30" s="87" t="inlineStr">
        <is>
          <t>https://www.wanted.co.kr/search?query=%ED%81%B4%EB%9E%98%EC%8A%A4101%20Data%20Analyst</t>
        </is>
      </c>
    </row>
    <row r="31" ht="40" customHeight="1">
      <c r="A31" s="82" t="inlineStr">
        <is>
          <t>뉴로핏 (Neurophet)</t>
        </is>
      </c>
      <c r="B31" s="83" t="inlineStr">
        <is>
          <t>EEG_뇌공학_BCI</t>
        </is>
      </c>
      <c r="C31" s="84" t="inlineStr">
        <is>
          <t>뇌질환 솔루션 R&amp;D (채용팀 (수시))</t>
        </is>
      </c>
      <c r="D31" s="83" t="inlineStr">
        <is>
          <t>3. 상시 / 즉시 지원 (ASAP)</t>
        </is>
      </c>
      <c r="E31" s="83" t="inlineStr">
        <is>
          <t>상시 채용</t>
        </is>
      </c>
      <c r="F31" s="83" t="inlineStr">
        <is>
          <t>스타트업 인턴십 (3~6개월)</t>
        </is>
      </c>
      <c r="G31" s="84" t="inlineStr">
        <is>
          <t>[지원 경로] 채용연계형 / 체험형 인턴
[요구 서류] 의공학, 인지신경, 파이썬 의료 데이터 분석</t>
        </is>
      </c>
      <c r="H31" s="84" t="inlineStr">
        <is>
          <t>[연구 주제 및 핵심 기술] 뇌파(EEG) 및 MRI 정량 분석, 치매/뇌졸중 진단 보조 AI</t>
        </is>
      </c>
      <c r="I31" s="85" t="inlineStr">
        <is>
          <t>미지원</t>
        </is>
      </c>
      <c r="J31" s="83" t="inlineStr">
        <is>
          <t>2순위 (유력)</t>
        </is>
      </c>
      <c r="K31" s="87" t="inlineStr">
        <is>
          <t>https://www.wanted.co.kr/search?query=%EB%89%B4%EB%A1%9C%ED%95%8F</t>
        </is>
      </c>
    </row>
    <row r="32" ht="40" customHeight="1">
      <c r="A32" s="82" t="inlineStr">
        <is>
          <t>룩시드랩스 (Looxid Labs)</t>
        </is>
      </c>
      <c r="B32" s="83" t="inlineStr">
        <is>
          <t>EEG_뇌공학_BCI</t>
        </is>
      </c>
      <c r="C32" s="84" t="inlineStr">
        <is>
          <t>생체신호 R&amp;D 본부 (채용팀 (수시))</t>
        </is>
      </c>
      <c r="D32" s="83" t="inlineStr">
        <is>
          <t>3. 상시 / 즉시 지원 (ASAP)</t>
        </is>
      </c>
      <c r="E32" s="83" t="inlineStr">
        <is>
          <t>상시 채용</t>
        </is>
      </c>
      <c r="F32" s="83" t="inlineStr">
        <is>
          <t>스타트업 인턴십 (3~6개월)</t>
        </is>
      </c>
      <c r="G32" s="84" t="inlineStr">
        <is>
          <t>[지원 경로] 스타트업 인턴/주니어 수시 채용 풀
[요구 서류] Python, SciPy, MNE, 생체신호 필터링/특징추출</t>
        </is>
      </c>
      <c r="H32" s="84" t="inlineStr">
        <is>
          <t>[연구 주제 및 핵심 기술] EEG/ECG 시계열 전처리 알고리즘, 뇌파-시선 인터페이스 인지 분석</t>
        </is>
      </c>
      <c r="I32" s="85" t="inlineStr">
        <is>
          <t>미지원</t>
        </is>
      </c>
      <c r="J32" s="83" t="inlineStr">
        <is>
          <t>2순위 (유력)</t>
        </is>
      </c>
      <c r="K32" s="87" t="inlineStr">
        <is>
          <t>https://www.wanted.co.kr/search?query=%EB%A3%A9%EC%8B%9C%EB%93%9C%EB%9E%A9%EC%8A%A4</t>
        </is>
      </c>
    </row>
    <row r="33" ht="40" customHeight="1">
      <c r="A33" s="82" t="inlineStr">
        <is>
          <t>뷰노 (VUNO)</t>
        </is>
      </c>
      <c r="B33" s="83" t="inlineStr">
        <is>
          <t>EEG_뇌공학_BCI</t>
        </is>
      </c>
      <c r="C33" s="84" t="inlineStr">
        <is>
          <t>생체신호 AI 연구팀 (채용팀 (수시))</t>
        </is>
      </c>
      <c r="D33" s="83" t="inlineStr">
        <is>
          <t>3. 상시 / 즉시 지원 (ASAP)</t>
        </is>
      </c>
      <c r="E33" s="83" t="inlineStr">
        <is>
          <t>상시 채용</t>
        </is>
      </c>
      <c r="F33" s="83" t="inlineStr">
        <is>
          <t>스타트업 인턴십 (3~6개월)</t>
        </is>
      </c>
      <c r="G33" s="84" t="inlineStr">
        <is>
          <t>[지원 경로] 수시 인재풀 등록
[요구 서류] Python, PyTorch, 시계열 신호처리 모델링</t>
        </is>
      </c>
      <c r="H33" s="84" t="inlineStr">
        <is>
          <t>[연구 주제 및 핵심 기술] 심전도(ECG) 및 활력징후(V/S) 시계열 딥러닝 예측 (DeepCARS)</t>
        </is>
      </c>
      <c r="I33" s="85" t="inlineStr">
        <is>
          <t>미지원</t>
        </is>
      </c>
      <c r="J33" s="83" t="inlineStr">
        <is>
          <t>2순위 (유력)</t>
        </is>
      </c>
      <c r="K33" s="87" t="inlineStr">
        <is>
          <t>https://vuno.co/career</t>
        </is>
      </c>
    </row>
    <row r="34" ht="40" customHeight="1">
      <c r="A34" s="88" t="inlineStr">
        <is>
          <t>LG AI연구원</t>
        </is>
      </c>
      <c r="B34" s="89" t="inlineStr">
        <is>
          <t>대기업_해외대</t>
        </is>
      </c>
      <c r="C34" s="90" t="inlineStr">
        <is>
          <t>글로벌 Summer Research Intern - Foundation Model, 언어, 비전, Brain-inspired AI</t>
        </is>
      </c>
      <c r="D34" s="89" t="inlineStr">
        <is>
          <t>4. 2026년 12월 ~ 2027년 1월 (겨울 접수)</t>
        </is>
      </c>
      <c r="E34" s="89" t="inlineStr">
        <is>
          <t>2026년 12월 ~ 2027년 1월 (조기) / 수시</t>
        </is>
      </c>
      <c r="F34" s="89" t="inlineStr">
        <is>
          <t>하계 8주 (마곡 사이언스파크)</t>
        </is>
      </c>
      <c r="G34" s="90" t="inlineStr">
        <is>
          <t>PyTorch 딥러닝 연구 역량 보유 학·석사, 최상위 컨퍼런스 논문 우대</t>
        </is>
      </c>
      <c r="H34" s="90" t="inlineStr">
        <is>
          <t>[전형 단계] 서류 심사 → 코딩테스트 → 연구 기술면접 (2회)
[전환 및 혜택] 정규 연구원 전환 및 글로벌 펠로우십 연계</t>
        </is>
      </c>
      <c r="I34" s="91" t="inlineStr">
        <is>
          <t>미지원</t>
        </is>
      </c>
      <c r="J34" s="92" t="inlineStr">
        <is>
          <t>1순위 (최우선)</t>
        </is>
      </c>
      <c r="K34" s="93" t="inlineStr">
        <is>
          <t>https://careers.lg.com/</t>
        </is>
      </c>
    </row>
    <row r="35" ht="40" customHeight="1">
      <c r="A35" s="94" t="inlineStr">
        <is>
          <t>삼성전자 DS부문</t>
        </is>
      </c>
      <c r="B35" s="95" t="inlineStr">
        <is>
          <t>대기업_해외대</t>
        </is>
      </c>
      <c r="C35" s="96" t="inlineStr">
        <is>
          <t>해외대 학부 하계 인턴십 - System LSI, 반도체 AI 연구소, 파운드리 SW</t>
        </is>
      </c>
      <c r="D35" s="95" t="inlineStr">
        <is>
          <t>5. 2027년 2~3월 (대기업 상반기)</t>
        </is>
      </c>
      <c r="E35" s="95" t="inlineStr">
        <is>
          <t>2027년 2월 말 ~ 3월 초</t>
        </is>
      </c>
      <c r="F35" s="95" t="inlineStr">
        <is>
          <t>하계 6주 (7월 초 ~ 8월 중순)</t>
        </is>
      </c>
      <c r="G35" s="96" t="inlineStr">
        <is>
          <t>해외대 학부 재학생, 전기전자/컴공/데이터/뇌공학 전공</t>
        </is>
      </c>
      <c r="H35" s="96" t="inlineStr">
        <is>
          <t>[전형 단계] 지원서 접수 → GSAT/SW테스트 → 화상 면접
[전환 및 혜택] 정규직 신입 전환 기회 부여</t>
        </is>
      </c>
      <c r="I35" s="97" t="inlineStr">
        <is>
          <t>미지원</t>
        </is>
      </c>
      <c r="J35" s="98" t="inlineStr">
        <is>
          <t>1순위 (최우선)</t>
        </is>
      </c>
      <c r="K35" s="99" t="inlineStr">
        <is>
          <t>https://www.samsungcareers.com/</t>
        </is>
      </c>
    </row>
    <row r="36" ht="40" customHeight="1">
      <c r="A36" s="94" t="inlineStr">
        <is>
          <t>삼성전자 DX부문</t>
        </is>
      </c>
      <c r="B36" s="95" t="inlineStr">
        <is>
          <t>대기업_해외대</t>
        </is>
      </c>
      <c r="C36" s="96" t="inlineStr">
        <is>
          <t>해외대 학부 하계 인턴십 - Samsung Research, MX사업부, 빅데이터센터, 영상디스플레이</t>
        </is>
      </c>
      <c r="D36" s="95" t="inlineStr">
        <is>
          <t>5. 2027년 2~3월 (대기업 상반기)</t>
        </is>
      </c>
      <c r="E36" s="95" t="inlineStr">
        <is>
          <t>2027년 2월 말 ~ 3월 초</t>
        </is>
      </c>
      <c r="F36" s="95" t="inlineStr">
        <is>
          <t>하계 6주 (7월 초 ~ 8월 중순)</t>
        </is>
      </c>
      <c r="G36" s="96" t="inlineStr">
        <is>
          <t>해외 대학 학부 재학생 (2028년 6월 졸업 예정자 완벽 부합), 군필자</t>
        </is>
      </c>
      <c r="H36" s="96" t="inlineStr">
        <is>
          <t>[전형 단계] 지원서 접수 → 온라인 GSAT / SW테스트 → 화상 면접 → 인턴 입과
[전환 및 혜택] 인턴 수료 평가 후 정규직 신입 입사 확정 (전환율 매우 높음)</t>
        </is>
      </c>
      <c r="I36" s="97" t="inlineStr">
        <is>
          <t>미지원</t>
        </is>
      </c>
      <c r="J36" s="98" t="inlineStr">
        <is>
          <t>1순위 (최우선)</t>
        </is>
      </c>
      <c r="K36" s="99" t="inlineStr">
        <is>
          <t>https://www.samsungcareers.com/</t>
        </is>
      </c>
    </row>
    <row r="37" ht="40" customHeight="1">
      <c r="A37" s="100" t="inlineStr">
        <is>
          <t>KIST 뇌과학연구소 (BSI)</t>
        </is>
      </c>
      <c r="B37" s="101" t="inlineStr">
        <is>
          <t>EEG_뇌공학_BCI</t>
        </is>
      </c>
      <c r="C37" s="102" t="inlineStr">
        <is>
          <t>바이오닉스연구센터 (김래현 책임연구원)</t>
        </is>
      </c>
      <c r="D37" s="101" t="inlineStr">
        <is>
          <t>6. 2027년 3~4월 (현대차/연구실 사전컨택)</t>
        </is>
      </c>
      <c r="E37" s="101" t="inlineStr">
        <is>
          <t>2027년 2~4월 (방학 2~3달 전)</t>
        </is>
      </c>
      <c r="F37" s="101" t="inlineStr">
        <is>
          <t>하계 연구 인턴 / 학부 연구생</t>
        </is>
      </c>
      <c r="G37" s="102" t="inlineStr">
        <is>
          <t>[지원 경로] 학부 연구연수생 (PI 직접 컨택 후 과제 TO 배정)
[요구 서류] CV, 뇌파 분석 경험, 영문 커버레터, 가용 기간 명시</t>
        </is>
      </c>
      <c r="H37" s="102" t="inlineStr">
        <is>
          <t>[연구 주제 및 핵심 기술] Motor Imagery 기반 외골격 로봇 BCI 제어, 임상 폐루프 EEG</t>
        </is>
      </c>
      <c r="I37" s="103" t="inlineStr">
        <is>
          <t>미지원</t>
        </is>
      </c>
      <c r="J37" s="104" t="inlineStr">
        <is>
          <t>1순위 (최우선)</t>
        </is>
      </c>
      <c r="K37" s="105" t="inlineStr">
        <is>
          <t>https://www.kist.re.kr/ko/research/divisions/brain-science.do</t>
        </is>
      </c>
    </row>
    <row r="38" ht="40" customHeight="1">
      <c r="A38" s="106" t="inlineStr">
        <is>
          <t>KIST 뇌과학연구소 (BSI)</t>
        </is>
      </c>
      <c r="B38" s="107" t="inlineStr">
        <is>
          <t>EEG_뇌공학_BCI</t>
        </is>
      </c>
      <c r="C38" s="108" t="inlineStr">
        <is>
          <t>바이오마이크로시스템연구단 (조일주 단장 / 이창혁 박사)</t>
        </is>
      </c>
      <c r="D38" s="107" t="inlineStr">
        <is>
          <t>6. 2027년 3~4월 (현대차/연구실 사전컨택)</t>
        </is>
      </c>
      <c r="E38" s="107" t="inlineStr">
        <is>
          <t>2027년 2~4월</t>
        </is>
      </c>
      <c r="F38" s="107" t="inlineStr">
        <is>
          <t>하계 연구 인턴 / 학부 연구생</t>
        </is>
      </c>
      <c r="G38" s="108" t="inlineStr">
        <is>
          <t>[지원 경로] 연구연수생 개별 컨택
[요구 서류] 의공학/생체신호 기초 지식, 연구 몰입도</t>
        </is>
      </c>
      <c r="H38" s="108" t="inlineStr">
        <is>
          <t>[연구 주제 및 핵심 기술] 반도체 기반 광-전자 초소형 BCI 칩, 뇌신경 전극 프로브</t>
        </is>
      </c>
      <c r="I38" s="109" t="inlineStr">
        <is>
          <t>미지원</t>
        </is>
      </c>
      <c r="J38" s="110" t="inlineStr">
        <is>
          <t>1순위 (최우선)</t>
        </is>
      </c>
      <c r="K38" s="111" t="inlineStr">
        <is>
          <t>https://www.kist.re.kr/ko/research/divisions/brain-science.do</t>
        </is>
      </c>
    </row>
    <row r="39" ht="40" customHeight="1">
      <c r="A39" s="100" t="inlineStr">
        <is>
          <t>고려대학교 뇌공학과</t>
        </is>
      </c>
      <c r="B39" s="101" t="inlineStr">
        <is>
          <t>EEG_뇌공학_BCI</t>
        </is>
      </c>
      <c r="C39" s="102" t="inlineStr">
        <is>
          <t>Pattern Recognition &amp; ML Lab (PRML) (이성환 교수)</t>
        </is>
      </c>
      <c r="D39" s="101" t="inlineStr">
        <is>
          <t>6. 2027년 3~4월 (현대차/연구실 사전컨택)</t>
        </is>
      </c>
      <c r="E39" s="101" t="inlineStr">
        <is>
          <t>2027년 3~4월 (사전 이메일)</t>
        </is>
      </c>
      <c r="F39" s="101" t="inlineStr">
        <is>
          <t>하계 연구 인턴 / 학부 연구생</t>
        </is>
      </c>
      <c r="G39" s="102" t="inlineStr">
        <is>
          <t>[지원 경로] 연구실(PI) 직접 컨택 (학부 연구생/방학 인턴)
[요구 서류] Academic CV, MNE-Python 뇌파 프로젝트 포트폴리오</t>
        </is>
      </c>
      <c r="H39" s="102" t="inlineStr">
        <is>
          <t>[연구 주제 및 핵심 기술] 한국 BCI 최고 권위: Motor Imagery EEG 디코딩, Brain-to-Speech</t>
        </is>
      </c>
      <c r="I39" s="103" t="inlineStr">
        <is>
          <t>미지원</t>
        </is>
      </c>
      <c r="J39" s="104" t="inlineStr">
        <is>
          <t>1순위 (최우선)</t>
        </is>
      </c>
      <c r="K39" s="105" t="inlineStr">
        <is>
          <t>http://pr.korea.ac.kr/</t>
        </is>
      </c>
    </row>
    <row r="40" ht="40" customHeight="1">
      <c r="A40" s="106" t="inlineStr">
        <is>
          <t>고려대학교 뇌공학과</t>
        </is>
      </c>
      <c r="B40" s="107" t="inlineStr">
        <is>
          <t>EEG_뇌공학_BCI</t>
        </is>
      </c>
      <c r="C40" s="108" t="inlineStr">
        <is>
          <t>Machine Intelligence Lab (석흥일 교수)</t>
        </is>
      </c>
      <c r="D40" s="107" t="inlineStr">
        <is>
          <t>6. 2027년 3~4월 (현대차/연구실 사전컨택)</t>
        </is>
      </c>
      <c r="E40" s="107" t="inlineStr">
        <is>
          <t>2027년 3~4월</t>
        </is>
      </c>
      <c r="F40" s="107" t="inlineStr">
        <is>
          <t>하계 연구 인턴 / 학부 연구생</t>
        </is>
      </c>
      <c r="G40" s="108" t="inlineStr">
        <is>
          <t>[지원 경로] 연구실 직접 컨택 또는 대학원 인턴십
[요구 서류] PyTorch, 다채널 시계열 신호처리, 통계적 기계학습</t>
        </is>
      </c>
      <c r="H40" s="108" t="inlineStr">
        <is>
          <t>[연구 주제 및 핵심 기술] 멀티모달 뇌영상 AI (EEG, fMRI, MRI), 설명가능 의료 AI</t>
        </is>
      </c>
      <c r="I40" s="109" t="inlineStr">
        <is>
          <t>미지원</t>
        </is>
      </c>
      <c r="J40" s="110" t="inlineStr">
        <is>
          <t>1순위 (최우선)</t>
        </is>
      </c>
      <c r="K40" s="111" t="inlineStr">
        <is>
          <t>https://milab.korea.ac.kr/</t>
        </is>
      </c>
    </row>
    <row r="41" ht="40" customHeight="1">
      <c r="A41" s="100" t="inlineStr">
        <is>
          <t>현대자동차</t>
        </is>
      </c>
      <c r="B41" s="101" t="inlineStr">
        <is>
          <t>대기업_해외대</t>
        </is>
      </c>
      <c r="C41" s="102" t="inlineStr">
        <is>
          <t>H-Experience 해외대 인턴십 - SDV(차량 데이터 분석), 자율주행 SW, Robotics, Feature UX</t>
        </is>
      </c>
      <c r="D41" s="101" t="inlineStr">
        <is>
          <t>6. 2027년 3~4월 (현대차/연구실 사전컨택)</t>
        </is>
      </c>
      <c r="E41" s="101" t="inlineStr">
        <is>
          <t>2027년 4월 초 (약 2주간)</t>
        </is>
      </c>
      <c r="F41" s="101" t="inlineStr">
        <is>
          <t>하계 5~8주 (7월 ~ 8월)</t>
        </is>
      </c>
      <c r="G41" s="102" t="inlineStr">
        <is>
          <t>해외 학사/석사 재학생 및 1년 이내 졸업자, 한국어/영어 능통</t>
        </is>
      </c>
      <c r="H41" s="102" t="inlineStr">
        <is>
          <t>[전형 단계] 서류 전형 → 코딩테스트 / AI 역량검사 → 화상 실무면접
[전환 및 혜택] 우수 수료자 대상 최종면접 후 정규직 채용</t>
        </is>
      </c>
      <c r="I41" s="103" t="inlineStr">
        <is>
          <t>미지원</t>
        </is>
      </c>
      <c r="J41" s="104" t="inlineStr">
        <is>
          <t>1순위 (최우선)</t>
        </is>
      </c>
      <c r="K41" s="105" t="inlineStr">
        <is>
          <t>https://talent.hyundai.com/</t>
        </is>
      </c>
    </row>
    <row r="42" ht="40" customHeight="1">
      <c r="A42" s="106" t="inlineStr">
        <is>
          <t>SK텔레콤</t>
        </is>
      </c>
      <c r="B42" s="107" t="inlineStr">
        <is>
          <t>대기업_해외대</t>
        </is>
      </c>
      <c r="C42" s="108" t="inlineStr">
        <is>
          <t>Junior Talent (Global Track) - AI Agent 개발, Telco AI, Tech Infra, Data Analytics</t>
        </is>
      </c>
      <c r="D42" s="107" t="inlineStr">
        <is>
          <t>6. 2027년 3~4월 (현대차/연구실 사전컨택)</t>
        </is>
      </c>
      <c r="E42" s="107" t="inlineStr">
        <is>
          <t>매년 8~9월 (메인) 및 봄 수시</t>
        </is>
      </c>
      <c r="F42" s="107" t="inlineStr">
        <is>
          <t>2개월 인턴십 또는 즉시 입사</t>
        </is>
      </c>
      <c r="G42" s="108" t="inlineStr">
        <is>
          <t>1년 이내 학사 졸업예정자 (전공 무관, 실무 데이터/SW 역량)</t>
        </is>
      </c>
      <c r="H42" s="108" t="inlineStr">
        <is>
          <t>[전형 단계] 서류 및 수강과목 제출 (자기소개서 면제) → SKCT 인적성 → 직무 인터뷰
[전환 및 혜택] 채용연계형 인턴 후 신입 입사</t>
        </is>
      </c>
      <c r="I42" s="109" t="inlineStr">
        <is>
          <t>미지원</t>
        </is>
      </c>
      <c r="J42" s="107" t="inlineStr">
        <is>
          <t>2순위 (유력)</t>
        </is>
      </c>
      <c r="K42" s="111" t="inlineStr">
        <is>
          <t>https://careers.sktelecom.com/</t>
        </is>
      </c>
    </row>
    <row r="43" ht="40" customHeight="1">
      <c r="A43" s="100" t="inlineStr">
        <is>
          <t>IBS (기초과학연구원)</t>
        </is>
      </c>
      <c r="B43" s="101" t="inlineStr">
        <is>
          <t>EEG_뇌공학_BCI</t>
        </is>
      </c>
      <c r="C43" s="102" t="inlineStr">
        <is>
          <t>기억 및 교세포 연구단 (구 인지및사회성) (이창준 단장 (교세포과학))</t>
        </is>
      </c>
      <c r="D43" s="101" t="inlineStr">
        <is>
          <t>7. 2027년 5월 (KAIST/IBS 하계인턴)</t>
        </is>
      </c>
      <c r="E43" s="101" t="inlineStr">
        <is>
          <t>2027년 5월 초</t>
        </is>
      </c>
      <c r="F43" s="101" t="inlineStr">
        <is>
          <t>하계 4~8주 연구 인턴</t>
        </is>
      </c>
      <c r="G43" s="102" t="inlineStr">
        <is>
          <t>[지원 경로] IBS 생명과학 클러스터 하계 인턴십 / PI 직접 컨택
[요구 서류] 신경과학/인지과학 전공 배경, 데이터 분석</t>
        </is>
      </c>
      <c r="H43" s="102" t="inlineStr">
        <is>
          <t>[연구 주제 및 핵심 기술] 알츠하이머, 기억 인코딩, 교세포-신경세포 상호작용</t>
        </is>
      </c>
      <c r="I43" s="103" t="inlineStr">
        <is>
          <t>미지원</t>
        </is>
      </c>
      <c r="J43" s="104" t="inlineStr">
        <is>
          <t>1순위 (최우선)</t>
        </is>
      </c>
      <c r="K43" s="105" t="inlineStr">
        <is>
          <t>https://centers.ibs.re.kr/glia</t>
        </is>
      </c>
    </row>
    <row r="44" ht="40" customHeight="1">
      <c r="A44" s="106" t="inlineStr">
        <is>
          <t>KAIST 바이오및뇌공학과</t>
        </is>
      </c>
      <c r="B44" s="107" t="inlineStr">
        <is>
          <t>EEG_뇌공학_BCI</t>
        </is>
      </c>
      <c r="C44" s="108" t="inlineStr">
        <is>
          <t>Brain &amp; Machine Intelligence Lab (이상완 교수)</t>
        </is>
      </c>
      <c r="D44" s="107" t="inlineStr">
        <is>
          <t>7. 2027년 5월 (KAIST/IBS 하계인턴)</t>
        </is>
      </c>
      <c r="E44" s="107" t="inlineStr">
        <is>
          <t>2027년 5월 초 (하계 4~8주)</t>
        </is>
      </c>
      <c r="F44" s="107" t="inlineStr">
        <is>
          <t>하계 4~8주 연구 인턴</t>
        </is>
      </c>
      <c r="G44" s="108" t="inlineStr">
        <is>
          <t>[지원 경로] TrYBBE 학부생 연구 인턴십 (해외대 재학생 정식 지원 허용)
[요구 서류] CV, 성적표, 연구계획서 (Python, PyTorch, 강화학습)</t>
        </is>
      </c>
      <c r="H44" s="108" t="inlineStr">
        <is>
          <t>[연구 주제 및 핵심 기술] 강화학습, 뇌-기계 가치 정렬(Neural Value Alignment), BCI 시스템</t>
        </is>
      </c>
      <c r="I44" s="109" t="inlineStr">
        <is>
          <t>미지원</t>
        </is>
      </c>
      <c r="J44" s="110" t="inlineStr">
        <is>
          <t>1순위 (최우선)</t>
        </is>
      </c>
      <c r="K44" s="111" t="inlineStr">
        <is>
          <t>https://bioeng.kaist.ac.kr/</t>
        </is>
      </c>
    </row>
    <row r="45" ht="40" customHeight="1">
      <c r="A45" s="100" t="inlineStr">
        <is>
          <t>KAIST 바이오및뇌공학과</t>
        </is>
      </c>
      <c r="B45" s="101" t="inlineStr">
        <is>
          <t>EEG_뇌공학_BCI</t>
        </is>
      </c>
      <c r="C45" s="102" t="inlineStr">
        <is>
          <t>Decision Neuroscience Lab (정재승 교수)</t>
        </is>
      </c>
      <c r="D45" s="101" t="inlineStr">
        <is>
          <t>7. 2027년 5월 (KAIST/IBS 하계인턴)</t>
        </is>
      </c>
      <c r="E45" s="101" t="inlineStr">
        <is>
          <t>2027년 5월 초 (공식) / 3~4월 (개별)</t>
        </is>
      </c>
      <c r="F45" s="101" t="inlineStr">
        <is>
          <t>하계 4~8주 연구 인턴</t>
        </is>
      </c>
      <c r="G45" s="102" t="inlineStr">
        <is>
          <t>[지원 경로] TrYBBE 학부생 프로그램 또는 랩 개별 인턴
[요구 서류] 인지신경과학 배경, 생체신호 분석(Python/MATLAB)</t>
        </is>
      </c>
      <c r="H45" s="102" t="inlineStr">
        <is>
          <t>[연구 주제 및 핵심 기술] EEG/fMRI 비선형 동역학, Brain-Robot Interface, 의사결정 모델링</t>
        </is>
      </c>
      <c r="I45" s="103" t="inlineStr">
        <is>
          <t>미지원</t>
        </is>
      </c>
      <c r="J45" s="104" t="inlineStr">
        <is>
          <t>1순위 (최우선)</t>
        </is>
      </c>
      <c r="K45" s="105" t="inlineStr">
        <is>
          <t>https://bioeng.kaist.ac.kr/</t>
        </is>
      </c>
    </row>
    <row r="46" ht="40" customHeight="1">
      <c r="A46" s="106" t="inlineStr">
        <is>
          <t>서울대학교 뇌인지과학과</t>
        </is>
      </c>
      <c r="B46" s="107" t="inlineStr">
        <is>
          <t>EEG_뇌공학_BCI</t>
        </is>
      </c>
      <c r="C46" s="108" t="inlineStr">
        <is>
          <t>자연과학대학 학부생 인턴십 (이상훈 교수 / 장병탁 교수)</t>
        </is>
      </c>
      <c r="D46" s="107" t="inlineStr">
        <is>
          <t>7. 2027년 5월 (KAIST/IBS 하계인턴)</t>
        </is>
      </c>
      <c r="E46" s="107" t="inlineStr">
        <is>
          <t>2027년 4월 말 ~ 5월 초</t>
        </is>
      </c>
      <c r="F46" s="107" t="inlineStr">
        <is>
          <t>하계 4~8주 연구 인턴</t>
        </is>
      </c>
      <c r="G46" s="108" t="inlineStr">
        <is>
          <t>[지원 경로] 서울대 자연대 인턴십 프로그램 (국외 대학 소속자 지원 가능)
[요구 서류] 재학증명서, 성적표, 출입국사실증명원, 연구계획서</t>
        </is>
      </c>
      <c r="H46" s="108" t="inlineStr">
        <is>
          <t>[연구 주제 및 핵심 기술] 계산적 fMRI, 시각 인지 모델링, Brain-inspired 인지 AI</t>
        </is>
      </c>
      <c r="I46" s="109" t="inlineStr">
        <is>
          <t>미지원</t>
        </is>
      </c>
      <c r="J46" s="110" t="inlineStr">
        <is>
          <t>1순위 (최우선)</t>
        </is>
      </c>
      <c r="K46" s="111" t="inlineStr">
        <is>
          <t>https://cns.snu.ac.kr/</t>
        </is>
      </c>
    </row>
    <row r="47" ht="40" customHeight="1">
      <c r="A47" s="100" t="inlineStr">
        <is>
          <t>Bain &amp; Company Seoul</t>
        </is>
      </c>
      <c r="B47" s="101" t="inlineStr">
        <is>
          <t>전략컨설팅_RA</t>
        </is>
      </c>
      <c r="C47" s="102" t="inlineStr">
        <is>
          <t>Associate Consultant Trainee (ACT)</t>
        </is>
      </c>
      <c r="D47" s="101" t="inlineStr">
        <is>
          <t>8. 연중 수시 / 분기별 선발 (전략컨설팅 RA)</t>
        </is>
      </c>
      <c r="E47" s="101" t="inlineStr">
        <is>
          <t>연 3회 정기 (봄/여름/겨울) &amp; 수시</t>
        </is>
      </c>
      <c r="F47" s="101" t="inlineStr">
        <is>
          <t>2~3개월 연속</t>
        </is>
      </c>
      <c r="G47" s="102" t="inlineStr">
        <is>
          <t>학부/대학원생 (전공 무관), 논리적 사고력, 한국어/영어 능통</t>
        </is>
      </c>
      <c r="H47" s="102" t="inlineStr">
        <is>
          <t>실제 클라이언트 케이스 투입, 정량 데이터/재무 분석, 산업 리서치
[지원 방법] Bain Careers 온라인 또는 Recruiting.Seoul@Bain.com</t>
        </is>
      </c>
      <c r="I47" s="103" t="inlineStr">
        <is>
          <t>미지원</t>
        </is>
      </c>
      <c r="J47" s="104" t="inlineStr">
        <is>
          <t>1순위 (최우선)</t>
        </is>
      </c>
      <c r="K47" s="105" t="inlineStr">
        <is>
          <t>https://www.bain.com/careers/roles/act/</t>
        </is>
      </c>
    </row>
    <row r="48" ht="40" customHeight="1">
      <c r="A48" s="106" t="inlineStr">
        <is>
          <t>Boston Consulting Group (BCG)</t>
        </is>
      </c>
      <c r="B48" s="107" t="inlineStr">
        <is>
          <t>전략컨설팅_RA</t>
        </is>
      </c>
      <c r="C48" s="108" t="inlineStr">
        <is>
          <t>Summer Associate Program</t>
        </is>
      </c>
      <c r="D48" s="107" t="inlineStr">
        <is>
          <t>8. 연중 수시 / 분기별 선발 (전략컨설팅 RA)</t>
        </is>
      </c>
      <c r="E48" s="107" t="inlineStr">
        <is>
          <t>연 1회 정기 공채</t>
        </is>
      </c>
      <c r="F48" s="107" t="inlineStr">
        <is>
          <t>8주 (하계)</t>
        </is>
      </c>
      <c r="G48" s="108" t="inlineStr">
        <is>
          <t>학부 페널티메이트 재학생, 케이스 인터뷰 통과자</t>
        </is>
      </c>
      <c r="H48" s="108" t="inlineStr">
        <is>
          <t>전략 컨설팅 프로젝트 핵심 팀원 투입, 우수자 리턴 오퍼
[지원 방법] BCG Careers Korea</t>
        </is>
      </c>
      <c r="I48" s="109" t="inlineStr">
        <is>
          <t>미지원</t>
        </is>
      </c>
      <c r="J48" s="110" t="inlineStr">
        <is>
          <t>1순위 (최우선)</t>
        </is>
      </c>
      <c r="K48" s="111" t="inlineStr">
        <is>
          <t>https://careers.bcg.com/</t>
        </is>
      </c>
    </row>
    <row r="49" ht="40" customHeight="1">
      <c r="A49" s="100" t="inlineStr">
        <is>
          <t>Arthur D. Little (ADL Korea)</t>
        </is>
      </c>
      <c r="B49" s="101" t="inlineStr">
        <is>
          <t>전략컨설팅_RA</t>
        </is>
      </c>
      <c r="C49" s="102" t="inlineStr">
        <is>
          <t>Research Associate (RA) - 전환형</t>
        </is>
      </c>
      <c r="D49" s="101" t="inlineStr">
        <is>
          <t>8. 연중 수시 / 분기별 선발 (전략컨설팅 RA)</t>
        </is>
      </c>
      <c r="E49" s="101" t="inlineStr">
        <is>
          <t>상시 채용</t>
        </is>
      </c>
      <c r="F49" s="101" t="inlineStr">
        <is>
          <t>3~6개월</t>
        </is>
      </c>
      <c r="G49" s="102" t="inlineStr">
        <is>
          <t>학·석사 졸업(예정)자, 영문 리서치 및 코딩 우대</t>
        </is>
      </c>
      <c r="H49" s="102" t="inlineStr">
        <is>
          <t>신사업 전략 리서치, 인터뷰, 데이터 분석 (조기 정규직 전환)
[지원 방법] careers.korea@adlittle.com 영문 Resume 제출</t>
        </is>
      </c>
      <c r="I49" s="103" t="inlineStr">
        <is>
          <t>미지원</t>
        </is>
      </c>
      <c r="J49" s="101" t="inlineStr">
        <is>
          <t>2순위 (유력)</t>
        </is>
      </c>
      <c r="K49" s="105" t="inlineStr">
        <is>
          <t>https://www.adlittle.com/en/careers</t>
        </is>
      </c>
    </row>
    <row r="50" ht="40" customHeight="1">
      <c r="A50" s="106" t="inlineStr">
        <is>
          <t>Boston Consulting Group (BCG)</t>
        </is>
      </c>
      <c r="B50" s="107" t="inlineStr">
        <is>
          <t>전략컨설팅_RA</t>
        </is>
      </c>
      <c r="C50" s="108" t="inlineStr">
        <is>
          <t>Project RA / Project Intern</t>
        </is>
      </c>
      <c r="D50" s="107" t="inlineStr">
        <is>
          <t>8. 연중 수시 / 분기별 선발 (전략컨설팅 RA)</t>
        </is>
      </c>
      <c r="E50" s="107" t="inlineStr">
        <is>
          <t>수시 채용</t>
        </is>
      </c>
      <c r="F50" s="107" t="inlineStr">
        <is>
          <t>2~3개월 (프로젝트)</t>
        </is>
      </c>
      <c r="G50" s="108" t="inlineStr">
        <is>
          <t>학부생, 엑셀/데이터 분석 숙련자</t>
        </is>
      </c>
      <c r="H50" s="108" t="inlineStr">
        <is>
          <t>데이터 수집/정제, 시장 규모 추정, 슬라이드 구조화
[지원 방법] 대학 CDC 및 링크드인 공고</t>
        </is>
      </c>
      <c r="I50" s="109" t="inlineStr">
        <is>
          <t>미지원</t>
        </is>
      </c>
      <c r="J50" s="107" t="inlineStr">
        <is>
          <t>2순위 (유력)</t>
        </is>
      </c>
      <c r="K50" s="111" t="inlineStr">
        <is>
          <t>https://careers.bcg.com/</t>
        </is>
      </c>
    </row>
    <row r="51" ht="40" customHeight="1">
      <c r="A51" s="100" t="inlineStr">
        <is>
          <t>EY-Parthenon (전략자문)</t>
        </is>
      </c>
      <c r="B51" s="101" t="inlineStr">
        <is>
          <t>전략컨설팅_RA</t>
        </is>
      </c>
      <c r="C51" s="102" t="inlineStr">
        <is>
          <t>Strategy T-Plus RA 인턴</t>
        </is>
      </c>
      <c r="D51" s="101" t="inlineStr">
        <is>
          <t>8. 연중 수시 / 분기별 선발 (전략컨설팅 RA)</t>
        </is>
      </c>
      <c r="E51" s="101" t="inlineStr">
        <is>
          <t>상시 수시 채용</t>
        </is>
      </c>
      <c r="F51" s="101" t="inlineStr">
        <is>
          <t>3~6개월</t>
        </is>
      </c>
      <c r="G51" s="102" t="inlineStr">
        <is>
          <t>재무/데이터 분석 기초 지식, 엑셀 능숙자</t>
        </is>
      </c>
      <c r="H51" s="102" t="inlineStr">
        <is>
          <t>M&amp;A 상업적 실사(CDD), 신사업 전략 시장/재무 데이터 분석
[지원 방법] EY Korea Careers / 슈퍼루키</t>
        </is>
      </c>
      <c r="I51" s="103" t="inlineStr">
        <is>
          <t>미지원</t>
        </is>
      </c>
      <c r="J51" s="101" t="inlineStr">
        <is>
          <t>2순위 (유력)</t>
        </is>
      </c>
      <c r="K51" s="105" t="inlineStr">
        <is>
          <t>https://www.superookie.com/jobs?keyword=EY%ED%95%9C%EC%98%81</t>
        </is>
      </c>
    </row>
    <row r="52" ht="40" customHeight="1">
      <c r="A52" s="106" t="inlineStr">
        <is>
          <t>Kearney Korea (커니 코리아)</t>
        </is>
      </c>
      <c r="B52" s="107" t="inlineStr">
        <is>
          <t>전략컨설팅_RA</t>
        </is>
      </c>
      <c r="C52" s="108" t="inlineStr">
        <is>
          <t>Research Assistant (RA)</t>
        </is>
      </c>
      <c r="D52" s="107" t="inlineStr">
        <is>
          <t>8. 연중 수시 / 분기별 선발 (전략컨설팅 RA)</t>
        </is>
      </c>
      <c r="E52" s="107" t="inlineStr">
        <is>
          <t>상시 수시 채용</t>
        </is>
      </c>
      <c r="F52" s="107" t="inlineStr">
        <is>
          <t>2~3개월 (프로젝트)</t>
        </is>
      </c>
      <c r="G52" s="108" t="inlineStr">
        <is>
          <t>학부 3학년 이상, SQL 데이터 추출 가능자 우대</t>
        </is>
      </c>
      <c r="H52" s="108" t="inlineStr">
        <is>
          <t>전략 프로젝트 정량 데이터 분석, 벤치마킹, 인터뷰 지원
[지원 방법] seoul.recruiting@kearney.com 영문 이력서 송부</t>
        </is>
      </c>
      <c r="I52" s="109" t="inlineStr">
        <is>
          <t>미지원</t>
        </is>
      </c>
      <c r="J52" s="107" t="inlineStr">
        <is>
          <t>2순위 (유력)</t>
        </is>
      </c>
      <c r="K52" s="111" t="inlineStr">
        <is>
          <t>https://www.superookie.com/jobs?keyword=%EC%BB%A4%EB%8B%88</t>
        </is>
      </c>
    </row>
    <row r="53" ht="40" customHeight="1">
      <c r="A53" s="100" t="inlineStr">
        <is>
          <t>LG경영개발원</t>
        </is>
      </c>
      <c r="B53" s="101" t="inlineStr">
        <is>
          <t>전략컨설팅_RA</t>
        </is>
      </c>
      <c r="C53" s="102" t="inlineStr">
        <is>
          <t>경영전략 리서치 RA</t>
        </is>
      </c>
      <c r="D53" s="101" t="inlineStr">
        <is>
          <t>8. 연중 수시 / 분기별 선발 (전략컨설팅 RA)</t>
        </is>
      </c>
      <c r="E53" s="101" t="inlineStr">
        <is>
          <t>상시 수시 채용</t>
        </is>
      </c>
      <c r="F53" s="101" t="inlineStr">
        <is>
          <t>3~6개월</t>
        </is>
      </c>
      <c r="G53" s="102" t="inlineStr">
        <is>
          <t>학부 재학생/휴학생, 영문 보고서 작성 역량</t>
        </is>
      </c>
      <c r="H53" s="102" t="inlineStr">
        <is>
          <t>글로벌 거시경제, 테크 트렌드, AI 시장 리서치 보고서 작성
[지원 방법] 피플앤잡 / 자사 채용</t>
        </is>
      </c>
      <c r="I53" s="103" t="inlineStr">
        <is>
          <t>미지원</t>
        </is>
      </c>
      <c r="J53" s="101" t="inlineStr">
        <is>
          <t>2순위 (유력)</t>
        </is>
      </c>
      <c r="K53" s="105" t="inlineStr">
        <is>
          <t>https://www.peoplenjob.com/</t>
        </is>
      </c>
    </row>
    <row r="54" ht="40" customHeight="1">
      <c r="A54" s="106" t="inlineStr">
        <is>
          <t>McKinsey &amp; Company Seoul</t>
        </is>
      </c>
      <c r="B54" s="107" t="inlineStr">
        <is>
          <t>전략컨설팅_RA</t>
        </is>
      </c>
      <c r="C54" s="108" t="inlineStr">
        <is>
          <t>Project Research Assistant (RA)</t>
        </is>
      </c>
      <c r="D54" s="107" t="inlineStr">
        <is>
          <t>8. 연중 수시 / 분기별 선발 (전략컨설팅 RA)</t>
        </is>
      </c>
      <c r="E54" s="107" t="inlineStr">
        <is>
          <t>수시 채용</t>
        </is>
      </c>
      <c r="F54" s="107" t="inlineStr">
        <is>
          <t>1~3개월 (프로젝트)</t>
        </is>
      </c>
      <c r="G54" s="108" t="inlineStr">
        <is>
          <t>학부 3학년 이상, 영어 리서치 능통자</t>
        </is>
      </c>
      <c r="H54" s="108" t="inlineStr">
        <is>
          <t>산업 벤치마킹, 데스크 리서치, 전문가 인터뷰 보조
[지원 방법] 대학 경력개발센터(CDC) 및 수시 공고</t>
        </is>
      </c>
      <c r="I54" s="109" t="inlineStr">
        <is>
          <t>미지원</t>
        </is>
      </c>
      <c r="J54" s="107" t="inlineStr">
        <is>
          <t>2순위 (유력)</t>
        </is>
      </c>
      <c r="K54" s="111" t="inlineStr">
        <is>
          <t>https://www.mckinsey.com/kr/careers</t>
        </is>
      </c>
    </row>
    <row r="55" ht="40" customHeight="1">
      <c r="A55" s="100" t="inlineStr">
        <is>
          <t>Oliver Wyman Seoul</t>
        </is>
      </c>
      <c r="B55" s="101" t="inlineStr">
        <is>
          <t>전략컨설팅_RA</t>
        </is>
      </c>
      <c r="C55" s="102" t="inlineStr">
        <is>
          <t>Retirement Consulting / Strategy Intern</t>
        </is>
      </c>
      <c r="D55" s="101" t="inlineStr">
        <is>
          <t>8. 연중 수시 / 분기별 선발 (전략컨설팅 RA)</t>
        </is>
      </c>
      <c r="E55" s="101" t="inlineStr">
        <is>
          <t>상시 채용</t>
        </is>
      </c>
      <c r="F55" s="101" t="inlineStr">
        <is>
          <t>3~6개월 (전환형)</t>
        </is>
      </c>
      <c r="G55" s="102" t="inlineStr">
        <is>
          <t>학사 졸업(예정)자, 여의도 3 IFC 오피스 근무</t>
        </is>
      </c>
      <c r="H55" s="102" t="inlineStr">
        <is>
          <t>전략 컨설팅 및 리서치, 계리/통계 데이터 모델링
[지원 방법] Marsh McLennan / Oliver Wyman Careers</t>
        </is>
      </c>
      <c r="I55" s="103" t="inlineStr">
        <is>
          <t>미지원</t>
        </is>
      </c>
      <c r="J55" s="101" t="inlineStr">
        <is>
          <t>2순위 (유력)</t>
        </is>
      </c>
      <c r="K55" s="105" t="inlineStr">
        <is>
          <t>https://www.oliverwyman.com/careers.html</t>
        </is>
      </c>
    </row>
    <row r="56" ht="40" customHeight="1">
      <c r="A56" s="106" t="inlineStr">
        <is>
          <t>Reddal Korea (레달 코리아)</t>
        </is>
      </c>
      <c r="B56" s="107" t="inlineStr">
        <is>
          <t>전략컨설팅_RA</t>
        </is>
      </c>
      <c r="C56" s="108" t="inlineStr">
        <is>
          <t>Business Analyst Intern (사업개발/전략)</t>
        </is>
      </c>
      <c r="D56" s="107" t="inlineStr">
        <is>
          <t>8. 연중 수시 / 분기별 선발 (전략컨설팅 RA)</t>
        </is>
      </c>
      <c r="E56" s="107" t="inlineStr">
        <is>
          <t>수시 채용 (ASAP)</t>
        </is>
      </c>
      <c r="F56" s="107" t="inlineStr">
        <is>
          <t>3~6개월</t>
        </is>
      </c>
      <c r="G56" s="108" t="inlineStr">
        <is>
          <t>졸업(예정)자, 비즈니스 영어 능통자 필수</t>
        </is>
      </c>
      <c r="H56" s="108" t="inlineStr">
        <is>
          <t>핀란드 기반 글로벌 전략 펌, 헬싱키 본사 트레이닝 및 해외 프로젝트
[지원 방법] http://reddal.com/join-reddal/ 또는 슈퍼루키</t>
        </is>
      </c>
      <c r="I56" s="109" t="inlineStr">
        <is>
          <t>미지원</t>
        </is>
      </c>
      <c r="J56" s="107" t="inlineStr">
        <is>
          <t>2순위 (유력)</t>
        </is>
      </c>
      <c r="K56" s="111" t="inlineStr">
        <is>
          <t>https://www.superookie.com/jobs?keyword=%EB%A0%88%EB%8B%AC</t>
        </is>
      </c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27" customWidth="1" min="3" max="3"/>
    <col width="50" customWidth="1" min="4" max="4"/>
    <col width="22" customWidth="1" min="5" max="5"/>
    <col width="50" customWidth="1" min="6" max="6"/>
    <col width="46" customWidth="1" min="7" max="7"/>
    <col width="36" customWidth="1" min="8" max="8"/>
  </cols>
  <sheetData>
    <row r="1" ht="28" customHeight="1">
      <c r="A1" s="112" t="inlineStr">
        <is>
          <t>우선순위</t>
        </is>
      </c>
      <c r="B1" s="112" t="inlineStr">
        <is>
          <t>카테고리</t>
        </is>
      </c>
      <c r="C1" s="112" t="inlineStr">
        <is>
          <t>기업/기관명</t>
        </is>
      </c>
      <c r="D1" s="112" t="inlineStr">
        <is>
          <t>포지션 / 프로그램명</t>
        </is>
      </c>
      <c r="E1" s="112" t="inlineStr">
        <is>
          <t>접수 마감 / 시기</t>
        </is>
      </c>
      <c r="F1" s="112" t="inlineStr">
        <is>
          <t>규빈 님 역량 매칭 포인트</t>
        </is>
      </c>
      <c r="G1" s="112" t="inlineStr">
        <is>
          <t>추천 행동 계획</t>
        </is>
      </c>
      <c r="H1" s="112" t="inlineStr">
        <is>
          <t>공식 플랫폼 / 공고 직결 링크</t>
        </is>
      </c>
    </row>
    <row r="2" ht="38" customHeight="1">
      <c r="A2" s="113" t="inlineStr">
        <is>
          <t>긴급 (D-13)</t>
        </is>
      </c>
      <c r="B2" s="114" t="inlineStr">
        <is>
          <t>외국계 IB</t>
        </is>
      </c>
      <c r="C2" s="114" t="inlineStr">
        <is>
          <t>Morgan Stanley Seoul</t>
        </is>
      </c>
      <c r="D2" s="114" t="inlineStr">
        <is>
          <t>2027 Asia Summer Analyst (Quant/Tech/Markets)</t>
        </is>
      </c>
      <c r="E2" s="115" t="inlineStr">
        <is>
          <t>2026.09.27</t>
        </is>
      </c>
      <c r="F2" s="114" t="inlineStr">
        <is>
          <t>UCL 2028년 6월 졸업 예정 자격 완벽 부합, 영문 CV 즉시 활용 가능</t>
        </is>
      </c>
      <c r="G2" s="114" t="inlineStr">
        <is>
          <t>영문 이력서 접수 (Rolling 심사 즉시 제출)</t>
        </is>
      </c>
      <c r="H2" s="116" t="inlineStr">
        <is>
          <t>https://www.morganstanley.com/people-opportunities/students-graduates</t>
        </is>
      </c>
    </row>
    <row r="3" ht="38" customHeight="1">
      <c r="A3" s="113" t="inlineStr">
        <is>
          <t>긴급 (D-16)</t>
        </is>
      </c>
      <c r="B3" s="114" t="inlineStr">
        <is>
          <t>외국계 IB</t>
        </is>
      </c>
      <c r="C3" s="114" t="inlineStr">
        <is>
          <t>J.P. Morgan Seoul</t>
        </is>
      </c>
      <c r="D3" s="114" t="inlineStr">
        <is>
          <t>2027 Markets Summer Analyst (Research Track)</t>
        </is>
      </c>
      <c r="E3" s="115" t="inlineStr">
        <is>
          <t>2026.09.30</t>
        </is>
      </c>
      <c r="F3" s="114" t="inlineStr">
        <is>
          <t>한국 거시/금융 데이터 정량 분석, HireVue 비디오 면접 대비</t>
        </is>
      </c>
      <c r="G3" s="114" t="inlineStr">
        <is>
          <t>서류 제출 후 30일 이내 HireVue 비디오 완료</t>
        </is>
      </c>
      <c r="H3" s="116" t="inlineStr">
        <is>
          <t>https://www.jpmorganchase.com/careers</t>
        </is>
      </c>
    </row>
    <row r="4" ht="38" customHeight="1">
      <c r="A4" s="113" t="inlineStr">
        <is>
          <t>긴급 (D-20)</t>
        </is>
      </c>
      <c r="B4" s="114" t="inlineStr">
        <is>
          <t>외국계 IB</t>
        </is>
      </c>
      <c r="C4" s="114" t="inlineStr">
        <is>
          <t>Goldman Sachs Seoul</t>
        </is>
      </c>
      <c r="D4" s="114" t="inlineStr">
        <is>
          <t>2027 Summer Analyst (Global Markets/Operations)</t>
        </is>
      </c>
      <c r="E4" s="115" t="inlineStr">
        <is>
          <t>2026.10.04</t>
        </is>
      </c>
      <c r="F4" s="114" t="inlineStr">
        <is>
          <t>최대 4개 직무 동시 지원 가능, 영문 이력서 및 정량 분석력</t>
        </is>
      </c>
      <c r="G4" s="114" t="inlineStr">
        <is>
          <t>온라인 지원서 작성 및 직무 선택</t>
        </is>
      </c>
      <c r="H4" s="116" t="inlineStr">
        <is>
          <t>https://www.goldmansachs.com/careers/students/programs/</t>
        </is>
      </c>
    </row>
    <row r="5" ht="38" customHeight="1">
      <c r="A5" s="113" t="inlineStr">
        <is>
          <t>긴급 (D-46)</t>
        </is>
      </c>
      <c r="B5" s="114" t="inlineStr">
        <is>
          <t>외국계 IB</t>
        </is>
      </c>
      <c r="C5" s="114" t="inlineStr">
        <is>
          <t>Citigroup Seoul</t>
        </is>
      </c>
      <c r="D5" s="114" t="inlineStr">
        <is>
          <t>2027 Commercial Banking Summer Analyst</t>
        </is>
      </c>
      <c r="E5" s="115" t="inlineStr">
        <is>
          <t>2026.10.30</t>
        </is>
      </c>
      <c r="F5" s="114" t="inlineStr">
        <is>
          <t>재무제표 및 기업 데이터 정량 분석, 영문/국문 능통자</t>
        </is>
      </c>
      <c r="G5" s="114" t="inlineStr">
        <is>
          <t>씨티 채용 포털 접수 (Job Req: 26985211)</t>
        </is>
      </c>
      <c r="H5" s="116" t="inlineStr">
        <is>
          <t>https://jobs.citi.com/search-jobs/Seoul%2C%20South%20Korea/287/4/1835848-1835847/37x56667/126x97806/50/2</t>
        </is>
      </c>
    </row>
    <row r="6" ht="38" customHeight="1">
      <c r="A6" s="117" t="inlineStr">
        <is>
          <t>최고 매칭 (100%)</t>
        </is>
      </c>
      <c r="B6" s="114" t="inlineStr">
        <is>
          <t>AI 에이전트</t>
        </is>
      </c>
      <c r="C6" s="114" t="inlineStr">
        <is>
          <t>딥오토 (DeepAuto)</t>
        </is>
      </c>
      <c r="D6" s="114" t="inlineStr">
        <is>
          <t>[인턴] Agentic AI Engineer</t>
        </is>
      </c>
      <c r="E6" s="115" t="inlineStr">
        <is>
          <t>상시 (채용시 마감)</t>
        </is>
      </c>
      <c r="F6" s="114" t="inlineStr">
        <is>
          <t>MCP(Model Context Protocol) Tool 통합 및 평가 자동화 파이프라인(κ=0.98) 직무 일치</t>
        </is>
      </c>
      <c r="G6" s="114" t="inlineStr">
        <is>
          <t>원티드 직무 페이지에서 이력서 즉시 접수</t>
        </is>
      </c>
      <c r="H6" s="116" t="inlineStr">
        <is>
          <t>https://www.wanted.co.kr/wd/293701</t>
        </is>
      </c>
    </row>
    <row r="7" ht="38" customHeight="1">
      <c r="A7" s="117" t="inlineStr">
        <is>
          <t>최고 매칭 (100%)</t>
        </is>
      </c>
      <c r="B7" s="114" t="inlineStr">
        <is>
          <t>AI 에이전트</t>
        </is>
      </c>
      <c r="C7" s="114" t="inlineStr">
        <is>
          <t>딥오토 (DeepAuto)</t>
        </is>
      </c>
      <c r="D7" s="114" t="inlineStr">
        <is>
          <t>[인턴] AI Engineer (Data &amp; ML)</t>
        </is>
      </c>
      <c r="E7" s="115" t="inlineStr">
        <is>
          <t>상시 (채용시 마감)</t>
        </is>
      </c>
      <c r="F7" s="114" t="inlineStr">
        <is>
          <t>비정형 데이터 파이프라인 구축 및 멀티모달 모델 학습 환경 개발</t>
        </is>
      </c>
      <c r="G7" s="114" t="inlineStr">
        <is>
          <t>원티드 공고 페이지 바로 지원</t>
        </is>
      </c>
      <c r="H7" s="116" t="inlineStr">
        <is>
          <t>https://www.wanted.co.kr/wd/379363</t>
        </is>
      </c>
    </row>
    <row r="8" ht="38" customHeight="1">
      <c r="A8" s="117" t="inlineStr">
        <is>
          <t>최고 매칭 (100%)</t>
        </is>
      </c>
      <c r="B8" s="114" t="inlineStr">
        <is>
          <t>AI 에이전트</t>
        </is>
      </c>
      <c r="C8" s="114" t="inlineStr">
        <is>
          <t>딥오토 (DeepAuto)</t>
        </is>
      </c>
      <c r="D8" s="114" t="inlineStr">
        <is>
          <t>[인턴] MCP Engineer (AI Tool)</t>
        </is>
      </c>
      <c r="E8" s="115" t="inlineStr">
        <is>
          <t>상시 (채용시 마감)</t>
        </is>
      </c>
      <c r="F8" s="114" t="inlineStr">
        <is>
          <t>에이전트 특화 MCP Server 개발 및 Python 라이브러리 구축</t>
        </is>
      </c>
      <c r="G8" s="114" t="inlineStr">
        <is>
          <t>원티드 공고 페이지 바로 지원</t>
        </is>
      </c>
      <c r="H8" s="116" t="inlineStr">
        <is>
          <t>https://www.wanted.co.kr/wd/293704</t>
        </is>
      </c>
    </row>
    <row r="9" ht="38" customHeight="1">
      <c r="A9" s="117" t="inlineStr">
        <is>
          <t>최고 매칭 (95%)</t>
        </is>
      </c>
      <c r="B9" s="114" t="inlineStr">
        <is>
          <t>데이터 분석</t>
        </is>
      </c>
      <c r="C9" s="114" t="inlineStr">
        <is>
          <t>매스프레소 (콴다)</t>
        </is>
      </c>
      <c r="D9" s="114" t="inlineStr">
        <is>
          <t>[인턴] Data Analyst</t>
        </is>
      </c>
      <c r="E9" s="115" t="inlineStr">
        <is>
          <t>상시 (채용시 마감)</t>
        </is>
      </c>
      <c r="F9" s="114" t="inlineStr">
        <is>
          <t>BigQuery SQL, 유저 행동 데이터 통계 분석 (정규직 전환 연계 가능)</t>
        </is>
      </c>
      <c r="G9" s="114" t="inlineStr">
        <is>
          <t>원티드 콴다 채용 페이지에서 접수</t>
        </is>
      </c>
      <c r="H9" s="116" t="inlineStr">
        <is>
          <t>https://www.wanted.co.kr/company/1258</t>
        </is>
      </c>
    </row>
    <row r="10" ht="38" customHeight="1">
      <c r="A10" s="117" t="inlineStr">
        <is>
          <t>최고 매칭 (95%)</t>
        </is>
      </c>
      <c r="B10" s="114" t="inlineStr">
        <is>
          <t>AI 에이전트</t>
        </is>
      </c>
      <c r="C10" s="114" t="inlineStr">
        <is>
          <t>뤼튼테크놀로지스</t>
        </is>
      </c>
      <c r="D10" s="114" t="inlineStr">
        <is>
          <t>[인턴] Internal Agent Builder</t>
        </is>
      </c>
      <c r="E10" s="115" t="inlineStr">
        <is>
          <t>상시 (채용시 마감)</t>
        </is>
      </c>
      <c r="F10" s="114" t="inlineStr">
        <is>
          <t>사내 자동화 AI Agent 구축, 최신 LLM API 파이프라인 연동</t>
        </is>
      </c>
      <c r="G10" s="114" t="inlineStr">
        <is>
          <t>원티드 뤼튼 공식 채용관 접수</t>
        </is>
      </c>
      <c r="H10" s="116" t="inlineStr">
        <is>
          <t>https://www.wanted.co.kr/company/18629</t>
        </is>
      </c>
    </row>
    <row r="11" ht="38" customHeight="1">
      <c r="A11" s="117" t="inlineStr">
        <is>
          <t>최고 매칭 (90%)</t>
        </is>
      </c>
      <c r="B11" s="114" t="inlineStr">
        <is>
          <t>데이터 분석</t>
        </is>
      </c>
      <c r="C11" s="114" t="inlineStr">
        <is>
          <t>당근 (Daangn)</t>
        </is>
      </c>
      <c r="D11" s="114" t="inlineStr">
        <is>
          <t>AI-Driven Data Analyst (인턴)</t>
        </is>
      </c>
      <c r="E11" s="115" t="inlineStr">
        <is>
          <t>상시 (채용시 마감)</t>
        </is>
      </c>
      <c r="F11" s="114" t="inlineStr">
        <is>
          <t>Python/SQL 지표 분석, 이상 탐지 및 머신러닝 실험 설계</t>
        </is>
      </c>
      <c r="G11" s="114" t="inlineStr">
        <is>
          <t>슈퍼루키 당근 채용 페이지 접수</t>
        </is>
      </c>
      <c r="H11" s="116" t="inlineStr">
        <is>
          <t>https://www.superookie.com/jobs?keyword=%EB%8B%B9%EA%B7%BC</t>
        </is>
      </c>
    </row>
    <row r="12" ht="38" customHeight="1">
      <c r="A12" s="117" t="inlineStr">
        <is>
          <t>최고 매칭 (90%)</t>
        </is>
      </c>
      <c r="B12" s="114" t="inlineStr">
        <is>
          <t>데이터 분석</t>
        </is>
      </c>
      <c r="C12" s="114" t="inlineStr">
        <is>
          <t>플렉스 (flex)</t>
        </is>
      </c>
      <c r="D12" s="114" t="inlineStr">
        <is>
          <t>Data Analyst Intern (채용연계형)</t>
        </is>
      </c>
      <c r="E12" s="115" t="inlineStr">
        <is>
          <t>상시 (채용시 마감)</t>
        </is>
      </c>
      <c r="F12" s="114" t="inlineStr">
        <is>
          <t>B2B SaaS HR 지표 정의, Tableau 대시보드, 코호트 분석</t>
        </is>
      </c>
      <c r="G12" s="114" t="inlineStr">
        <is>
          <t>슈퍼루키 플렉스 채용관 접수</t>
        </is>
      </c>
      <c r="H12" s="116" t="inlineStr">
        <is>
          <t>https://www.superookie.com/jobs?keyword=%ED%94%8C%EB%A0%89%EC%8A%A4</t>
        </is>
      </c>
    </row>
    <row r="13" ht="38" customHeight="1">
      <c r="A13" s="115" t="inlineStr">
        <is>
          <t>2027 방학 대비</t>
        </is>
      </c>
      <c r="B13" s="114" t="inlineStr">
        <is>
          <t>BCI/뇌공학</t>
        </is>
      </c>
      <c r="C13" s="114" t="inlineStr">
        <is>
          <t>KAIST 바이오및뇌공학과</t>
        </is>
      </c>
      <c r="D13" s="114" t="inlineStr">
        <is>
          <t>TrYBBE 학부생 연구 인턴십 (여름)</t>
        </is>
      </c>
      <c r="E13" s="115" t="inlineStr">
        <is>
          <t>2027년 5월 초 공고</t>
        </is>
      </c>
      <c r="F13" s="114" t="inlineStr">
        <is>
          <t>해외대 재학생 공식 지원 가능, 이상완/정재승/백세범 교수 BCI 랩 배속</t>
        </is>
      </c>
      <c r="G13" s="114" t="inlineStr">
        <is>
          <t>KAIST 바이오및뇌공학과 공식 공지사항 확인</t>
        </is>
      </c>
      <c r="H13" s="116" t="inlineStr">
        <is>
          <t>https://bioeng.kaist.ac.kr/</t>
        </is>
      </c>
    </row>
    <row r="14" ht="38" customHeight="1">
      <c r="A14" s="115" t="inlineStr">
        <is>
          <t>2027 방학 대비</t>
        </is>
      </c>
      <c r="B14" s="114" t="inlineStr">
        <is>
          <t>BCI/뇌공학</t>
        </is>
      </c>
      <c r="C14" s="114" t="inlineStr">
        <is>
          <t>고려대학교 뇌공학과</t>
        </is>
      </c>
      <c r="D14" s="114" t="inlineStr">
        <is>
          <t>학부 연구생 (이성환 교수 PRML Lab)</t>
        </is>
      </c>
      <c r="E14" s="115" t="inlineStr">
        <is>
          <t>2027년 3~4월 컨택</t>
        </is>
      </c>
      <c r="F14" s="114" t="inlineStr">
        <is>
          <t>한국 BCI 최고 권위 랩 (Motor Imagery EEG 디코딩, MNE, PyTorch)</t>
        </is>
      </c>
      <c r="G14" s="114" t="inlineStr">
        <is>
          <t>PRML 랩 공식 홈페이지 방문 및 사전 컨택</t>
        </is>
      </c>
      <c r="H14" s="116" t="inlineStr">
        <is>
          <t>http://pr.korea.ac.kr/</t>
        </is>
      </c>
    </row>
    <row r="15" ht="38" customHeight="1">
      <c r="A15" s="115" t="inlineStr">
        <is>
          <t>2027 방학 대비</t>
        </is>
      </c>
      <c r="B15" s="114" t="inlineStr">
        <is>
          <t>신경과학</t>
        </is>
      </c>
      <c r="C15" s="114" t="inlineStr">
        <is>
          <t>서울대학교 뇌인지과학과</t>
        </is>
      </c>
      <c r="D15" s="114" t="inlineStr">
        <is>
          <t>자연대 학부생 연구 인턴십</t>
        </is>
      </c>
      <c r="E15" s="115" t="inlineStr">
        <is>
          <t>2027년 4월 말 공고</t>
        </is>
      </c>
      <c r="F15" s="114" t="inlineStr">
        <is>
          <t>국외 대학 소속 재학생 공식 지원 허용, 계산신경과학/인지AI</t>
        </is>
      </c>
      <c r="G15" s="114" t="inlineStr">
        <is>
          <t>서울대 자연과학대학 공식 포털 공지 확인</t>
        </is>
      </c>
      <c r="H15" s="116" t="inlineStr">
        <is>
          <t>https://cns.snu.ac.kr/</t>
        </is>
      </c>
    </row>
    <row r="16" ht="38" customHeight="1">
      <c r="A16" s="115" t="inlineStr">
        <is>
          <t>2027 방학 대비</t>
        </is>
      </c>
      <c r="B16" s="114" t="inlineStr">
        <is>
          <t>생체신호 R&amp;D</t>
        </is>
      </c>
      <c r="C16" s="114" t="inlineStr">
        <is>
          <t>KIST 뇌과학연구소</t>
        </is>
      </c>
      <c r="D16" s="114" t="inlineStr">
        <is>
          <t>학부 연구연수생 (김래현/조일주 박사)</t>
        </is>
      </c>
      <c r="E16" s="115" t="inlineStr">
        <is>
          <t>2027년 2~4월 컨택</t>
        </is>
      </c>
      <c r="F16" s="114" t="inlineStr">
        <is>
          <t>Motor Imagery BCI 외골격 로봇 제어, 반도체 BCI 칩 연구</t>
        </is>
      </c>
      <c r="G16" s="114" t="inlineStr">
        <is>
          <t>KIST 뇌과학연구소 연구부문 페이지 확인</t>
        </is>
      </c>
      <c r="H16" s="116" t="inlineStr">
        <is>
          <t>https://www.kist.re.kr/ko/research/divisions/brain-science.do</t>
        </is>
      </c>
    </row>
    <row r="17" ht="38" customHeight="1">
      <c r="A17" s="115" t="inlineStr">
        <is>
          <t>2027 방학 대비</t>
        </is>
      </c>
      <c r="B17" s="114" t="inlineStr">
        <is>
          <t>신경과학</t>
        </is>
      </c>
      <c r="C17" s="114" t="inlineStr">
        <is>
          <t>IBS 기억및교세포연구단</t>
        </is>
      </c>
      <c r="D17" s="114" t="inlineStr">
        <is>
          <t>학부생 하계 인턴십 (구 인지및사회성)</t>
        </is>
      </c>
      <c r="E17" s="115" t="inlineStr">
        <is>
          <t>2027년 5월 초 공고</t>
        </is>
      </c>
      <c r="F17" s="114" t="inlineStr">
        <is>
          <t>이창준 단장 랩, 알츠하이머 및 인지/기억 신경회로 연구</t>
        </is>
      </c>
      <c r="G17" s="114" t="inlineStr">
        <is>
          <t>IBS 글리아 연구단 공식 홈페이지 확인</t>
        </is>
      </c>
      <c r="H17" s="116" t="inlineStr">
        <is>
          <t>https://centers.ibs.re.kr/glia</t>
        </is>
      </c>
    </row>
    <row r="18" ht="38" customHeight="1">
      <c r="A18" s="115" t="inlineStr">
        <is>
          <t>2027 하계 공채</t>
        </is>
      </c>
      <c r="B18" s="114" t="inlineStr">
        <is>
          <t>국내 대기업</t>
        </is>
      </c>
      <c r="C18" s="114" t="inlineStr">
        <is>
          <t>삼성전자 DX / 리서치</t>
        </is>
      </c>
      <c r="D18" s="114" t="inlineStr">
        <is>
          <t>해외대 학부 하계 인턴십 (6주 실습)</t>
        </is>
      </c>
      <c r="E18" s="115" t="inlineStr">
        <is>
          <t>2027년 2월 말~3월</t>
        </is>
      </c>
      <c r="F18" s="114" t="inlineStr">
        <is>
          <t>UCL 2028년 졸업예정자 타깃, GSAT 및 SW테스트 거쳐 높은 전환율</t>
        </is>
      </c>
      <c r="G18" s="114" t="inlineStr">
        <is>
          <t>Samsung Careers 공식 포털 공고 확인</t>
        </is>
      </c>
      <c r="H18" s="116" t="inlineStr">
        <is>
          <t>https://www.samsungcareers.com/</t>
        </is>
      </c>
    </row>
    <row r="19" ht="38" customHeight="1">
      <c r="A19" s="115" t="inlineStr">
        <is>
          <t>2027 하계 공채</t>
        </is>
      </c>
      <c r="B19" s="114" t="inlineStr">
        <is>
          <t>국내 대기업</t>
        </is>
      </c>
      <c r="C19" s="114" t="inlineStr">
        <is>
          <t>현대자동차</t>
        </is>
      </c>
      <c r="D19" s="114" t="inlineStr">
        <is>
          <t>H-Experience 글로벌 하계 인턴 (5~8주)</t>
        </is>
      </c>
      <c r="E19" s="115" t="inlineStr">
        <is>
          <t>2027년 4월 초</t>
        </is>
      </c>
      <c r="F19" s="114" t="inlineStr">
        <is>
          <t>SDV 차량 데이터 분석, 자율주행, UX 리서치 해외대 전형</t>
        </is>
      </c>
      <c r="G19" s="114" t="inlineStr">
        <is>
          <t>현대차 공식 채용 포털 접수</t>
        </is>
      </c>
      <c r="H19" s="116" t="inlineStr">
        <is>
          <t>https://talent.hyundai.com/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3" customWidth="1" min="2" max="2"/>
    <col width="29" customWidth="1" min="3" max="3"/>
    <col width="50" customWidth="1" min="4" max="4"/>
    <col width="50" customWidth="1" min="5" max="5"/>
    <col width="39" customWidth="1" min="6" max="6"/>
    <col width="50" customWidth="1" min="7" max="7"/>
    <col width="36" customWidth="1" min="8" max="8"/>
  </cols>
  <sheetData>
    <row r="1" ht="28" customHeight="1">
      <c r="A1" s="112" t="inlineStr">
        <is>
          <t>기관 / 기업명</t>
        </is>
      </c>
      <c r="B1" s="112" t="inlineStr">
        <is>
          <t>연구실 / 부서</t>
        </is>
      </c>
      <c r="C1" s="112" t="inlineStr">
        <is>
          <t>담당 교수 / 책임자</t>
        </is>
      </c>
      <c r="D1" s="112" t="inlineStr">
        <is>
          <t>연구 주제 및 핵심 기술</t>
        </is>
      </c>
      <c r="E1" s="112" t="inlineStr">
        <is>
          <t>해외대(UCL) 지원 자격 및 경로</t>
        </is>
      </c>
      <c r="F1" s="112" t="inlineStr">
        <is>
          <t>모집 / 컨택 시기</t>
        </is>
      </c>
      <c r="G1" s="112" t="inlineStr">
        <is>
          <t>요구 스택 및 준비 서류</t>
        </is>
      </c>
      <c r="H1" s="112" t="inlineStr">
        <is>
          <t>공식 웹사이트 / 연구실 직결 링크</t>
        </is>
      </c>
    </row>
    <row r="2" ht="28" customHeight="1">
      <c r="A2" s="115" t="inlineStr">
        <is>
          <t>KAIST 바이오및뇌공학과</t>
        </is>
      </c>
      <c r="B2" s="114" t="inlineStr">
        <is>
          <t>Brain &amp; Machine Intelligence Lab</t>
        </is>
      </c>
      <c r="C2" s="114" t="inlineStr">
        <is>
          <t>이상완 교수</t>
        </is>
      </c>
      <c r="D2" s="114" t="inlineStr">
        <is>
          <t>강화학습, 뇌-기계 가치 정렬(Neural Value Alignment), BCI 시스템</t>
        </is>
      </c>
      <c r="E2" s="114" t="inlineStr">
        <is>
          <t>TrYBBE 학부생 연구 인턴십 (해외대 재학생 정식 지원 허용)</t>
        </is>
      </c>
      <c r="F2" s="115" t="inlineStr">
        <is>
          <t>2027년 5월 초 (하계 4~8주)</t>
        </is>
      </c>
      <c r="G2" s="114" t="inlineStr">
        <is>
          <t>CV, 성적표, 연구계획서 (Python, PyTorch, 강화학습)</t>
        </is>
      </c>
      <c r="H2" s="116" t="inlineStr">
        <is>
          <t>https://bioeng.kaist.ac.kr/</t>
        </is>
      </c>
    </row>
    <row r="3" ht="28" customHeight="1">
      <c r="A3" s="115" t="inlineStr">
        <is>
          <t>KAIST 바이오및뇌공학과</t>
        </is>
      </c>
      <c r="B3" s="114" t="inlineStr">
        <is>
          <t>Decision Neuroscience Lab</t>
        </is>
      </c>
      <c r="C3" s="114" t="inlineStr">
        <is>
          <t>정재승 교수</t>
        </is>
      </c>
      <c r="D3" s="114" t="inlineStr">
        <is>
          <t>EEG/fMRI 비선형 동역학, Brain-Robot Interface, 의사결정 모델링</t>
        </is>
      </c>
      <c r="E3" s="114" t="inlineStr">
        <is>
          <t>TrYBBE 학부생 프로그램 또는 랩 개별 인턴</t>
        </is>
      </c>
      <c r="F3" s="115" t="inlineStr">
        <is>
          <t>2027년 5월 초 (공식) / 3~4월 (개별)</t>
        </is>
      </c>
      <c r="G3" s="114" t="inlineStr">
        <is>
          <t>인지신경과학 배경, 생체신호 분석(Python/MATLAB)</t>
        </is>
      </c>
      <c r="H3" s="116" t="inlineStr">
        <is>
          <t>https://bioeng.kaist.ac.kr/</t>
        </is>
      </c>
    </row>
    <row r="4" ht="28" customHeight="1">
      <c r="A4" s="115" t="inlineStr">
        <is>
          <t>고려대학교 뇌공학과</t>
        </is>
      </c>
      <c r="B4" s="114" t="inlineStr">
        <is>
          <t>Pattern Recognition &amp; ML Lab (PRML)</t>
        </is>
      </c>
      <c r="C4" s="114" t="inlineStr">
        <is>
          <t>이성환 교수</t>
        </is>
      </c>
      <c r="D4" s="114" t="inlineStr">
        <is>
          <t>한국 BCI 최고 권위: Motor Imagery EEG 디코딩, Brain-to-Speech</t>
        </is>
      </c>
      <c r="E4" s="114" t="inlineStr">
        <is>
          <t>연구실(PI) 직접 컨택 (학부 연구생/방학 인턴)</t>
        </is>
      </c>
      <c r="F4" s="115" t="inlineStr">
        <is>
          <t>2027년 3~4월 (사전 이메일)</t>
        </is>
      </c>
      <c r="G4" s="114" t="inlineStr">
        <is>
          <t>Academic CV, MNE-Python 뇌파 프로젝트 포트폴리오</t>
        </is>
      </c>
      <c r="H4" s="116" t="inlineStr">
        <is>
          <t>http://pr.korea.ac.kr/</t>
        </is>
      </c>
    </row>
    <row r="5" ht="28" customHeight="1">
      <c r="A5" s="115" t="inlineStr">
        <is>
          <t>고려대학교 뇌공학과</t>
        </is>
      </c>
      <c r="B5" s="114" t="inlineStr">
        <is>
          <t>Machine Intelligence Lab</t>
        </is>
      </c>
      <c r="C5" s="114" t="inlineStr">
        <is>
          <t>석흥일 교수</t>
        </is>
      </c>
      <c r="D5" s="114" t="inlineStr">
        <is>
          <t>멀티모달 뇌영상 AI (EEG, fMRI, MRI), 설명가능 의료 AI</t>
        </is>
      </c>
      <c r="E5" s="114" t="inlineStr">
        <is>
          <t>연구실 직접 컨택 또는 대학원 인턴십</t>
        </is>
      </c>
      <c r="F5" s="115" t="inlineStr">
        <is>
          <t>2027년 3~4월</t>
        </is>
      </c>
      <c r="G5" s="114" t="inlineStr">
        <is>
          <t>PyTorch, 다채널 시계열 신호처리, 통계적 기계학습</t>
        </is>
      </c>
      <c r="H5" s="116" t="inlineStr">
        <is>
          <t>https://milab.korea.ac.kr/</t>
        </is>
      </c>
    </row>
    <row r="6" ht="28" customHeight="1">
      <c r="A6" s="115" t="inlineStr">
        <is>
          <t>서울대학교 뇌인지과학과</t>
        </is>
      </c>
      <c r="B6" s="114" t="inlineStr">
        <is>
          <t>자연과학대학 학부생 인턴십</t>
        </is>
      </c>
      <c r="C6" s="114" t="inlineStr">
        <is>
          <t>이상훈 교수 / 장병탁 교수</t>
        </is>
      </c>
      <c r="D6" s="114" t="inlineStr">
        <is>
          <t>계산적 fMRI, 시각 인지 모델링, Brain-inspired 인지 AI</t>
        </is>
      </c>
      <c r="E6" s="114" t="inlineStr">
        <is>
          <t>서울대 자연대 인턴십 프로그램 (국외 대학 소속자 지원 가능)</t>
        </is>
      </c>
      <c r="F6" s="115" t="inlineStr">
        <is>
          <t>2027년 4월 말 ~ 5월 초</t>
        </is>
      </c>
      <c r="G6" s="114" t="inlineStr">
        <is>
          <t>재학증명서, 성적표, 출입국사실증명원, 연구계획서</t>
        </is>
      </c>
      <c r="H6" s="116" t="inlineStr">
        <is>
          <t>https://cns.snu.ac.kr/</t>
        </is>
      </c>
    </row>
    <row r="7" ht="28" customHeight="1">
      <c r="A7" s="115" t="inlineStr">
        <is>
          <t>KIST 뇌과학연구소 (BSI)</t>
        </is>
      </c>
      <c r="B7" s="114" t="inlineStr">
        <is>
          <t>바이오닉스연구센터</t>
        </is>
      </c>
      <c r="C7" s="114" t="inlineStr">
        <is>
          <t>김래현 책임연구원</t>
        </is>
      </c>
      <c r="D7" s="114" t="inlineStr">
        <is>
          <t>Motor Imagery 기반 외골격 로봇 BCI 제어, 임상 폐루프 EEG</t>
        </is>
      </c>
      <c r="E7" s="114" t="inlineStr">
        <is>
          <t>학부 연구연수생 (PI 직접 컨택 후 과제 TO 배정)</t>
        </is>
      </c>
      <c r="F7" s="115" t="inlineStr">
        <is>
          <t>2027년 2~4월 (방학 2~3달 전)</t>
        </is>
      </c>
      <c r="G7" s="114" t="inlineStr">
        <is>
          <t>CV, 뇌파 분석 경험, 영문 커버레터, 가용 기간 명시</t>
        </is>
      </c>
      <c r="H7" s="116" t="inlineStr">
        <is>
          <t>https://www.kist.re.kr/ko/research/divisions/brain-science.do</t>
        </is>
      </c>
    </row>
    <row r="8" ht="28" customHeight="1">
      <c r="A8" s="115" t="inlineStr">
        <is>
          <t>KIST 뇌과학연구소 (BSI)</t>
        </is>
      </c>
      <c r="B8" s="114" t="inlineStr">
        <is>
          <t>바이오마이크로시스템연구단</t>
        </is>
      </c>
      <c r="C8" s="114" t="inlineStr">
        <is>
          <t>조일주 단장 / 이창혁 박사</t>
        </is>
      </c>
      <c r="D8" s="114" t="inlineStr">
        <is>
          <t>반도체 기반 광-전자 초소형 BCI 칩, 뇌신경 전극 프로브</t>
        </is>
      </c>
      <c r="E8" s="114" t="inlineStr">
        <is>
          <t>연구연수생 개별 컨택</t>
        </is>
      </c>
      <c r="F8" s="115" t="inlineStr">
        <is>
          <t>2027년 2~4월</t>
        </is>
      </c>
      <c r="G8" s="114" t="inlineStr">
        <is>
          <t>의공학/생체신호 기초 지식, 연구 몰입도</t>
        </is>
      </c>
      <c r="H8" s="116" t="inlineStr">
        <is>
          <t>https://www.kist.re.kr/ko/research/divisions/brain-science.do</t>
        </is>
      </c>
    </row>
    <row r="9" ht="28" customHeight="1">
      <c r="A9" s="115" t="inlineStr">
        <is>
          <t>IBS (기초과학연구원)</t>
        </is>
      </c>
      <c r="B9" s="114" t="inlineStr">
        <is>
          <t>기억 및 교세포 연구단 (구 인지및사회성)</t>
        </is>
      </c>
      <c r="C9" s="114" t="inlineStr">
        <is>
          <t>이창준 단장 (교세포과학)</t>
        </is>
      </c>
      <c r="D9" s="114" t="inlineStr">
        <is>
          <t>알츠하이머, 기억 인코딩, 교세포-신경세포 상호작용</t>
        </is>
      </c>
      <c r="E9" s="114" t="inlineStr">
        <is>
          <t>IBS 생명과학 클러스터 하계 인턴십 / PI 직접 컨택</t>
        </is>
      </c>
      <c r="F9" s="115" t="inlineStr">
        <is>
          <t>2027년 5월 초</t>
        </is>
      </c>
      <c r="G9" s="114" t="inlineStr">
        <is>
          <t>신경과학/인지과학 전공 배경, 데이터 분석</t>
        </is>
      </c>
      <c r="H9" s="116" t="inlineStr">
        <is>
          <t>https://centers.ibs.re.kr/glia</t>
        </is>
      </c>
    </row>
    <row r="10" ht="28" customHeight="1">
      <c r="A10" s="115" t="inlineStr">
        <is>
          <t>룩시드랩스 (Looxid Labs)</t>
        </is>
      </c>
      <c r="B10" s="114" t="inlineStr">
        <is>
          <t>생체신호 R&amp;D 본부</t>
        </is>
      </c>
      <c r="C10" s="114" t="inlineStr">
        <is>
          <t>채용팀 (수시)</t>
        </is>
      </c>
      <c r="D10" s="114" t="inlineStr">
        <is>
          <t>EEG/ECG 시계열 전처리 알고리즘, 뇌파-시선 인터페이스 인지 분석</t>
        </is>
      </c>
      <c r="E10" s="114" t="inlineStr">
        <is>
          <t>스타트업 인턴/주니어 수시 채용 풀</t>
        </is>
      </c>
      <c r="F10" s="115" t="inlineStr">
        <is>
          <t>상시 채용</t>
        </is>
      </c>
      <c r="G10" s="114" t="inlineStr">
        <is>
          <t>Python, SciPy, MNE, 생체신호 필터링/특징추출</t>
        </is>
      </c>
      <c r="H10" s="116" t="inlineStr">
        <is>
          <t>https://www.wanted.co.kr/search?query=%EB%A3%A9%EC%8B%9C%EB%93%9C%EB%9E%A9%EC%8A%A4</t>
        </is>
      </c>
    </row>
    <row r="11" ht="28" customHeight="1">
      <c r="A11" s="115" t="inlineStr">
        <is>
          <t>뉴로핏 (Neurophet)</t>
        </is>
      </c>
      <c r="B11" s="114" t="inlineStr">
        <is>
          <t>뇌질환 솔루션 R&amp;D</t>
        </is>
      </c>
      <c r="C11" s="114" t="inlineStr">
        <is>
          <t>채용팀 (수시)</t>
        </is>
      </c>
      <c r="D11" s="114" t="inlineStr">
        <is>
          <t>뇌파(EEG) 및 MRI 정량 분석, 치매/뇌졸중 진단 보조 AI</t>
        </is>
      </c>
      <c r="E11" s="114" t="inlineStr">
        <is>
          <t>채용연계형 / 체험형 인턴</t>
        </is>
      </c>
      <c r="F11" s="115" t="inlineStr">
        <is>
          <t>상시 채용</t>
        </is>
      </c>
      <c r="G11" s="114" t="inlineStr">
        <is>
          <t>의공학, 인지신경, 파이썬 의료 데이터 분석</t>
        </is>
      </c>
      <c r="H11" s="116" t="inlineStr">
        <is>
          <t>https://www.wanted.co.kr/search?query=%EB%89%B4%EB%A1%9C%ED%95%8F</t>
        </is>
      </c>
    </row>
    <row r="12" ht="28" customHeight="1">
      <c r="A12" s="115" t="inlineStr">
        <is>
          <t>뷰노 (VUNO)</t>
        </is>
      </c>
      <c r="B12" s="114" t="inlineStr">
        <is>
          <t>생체신호 AI 연구팀</t>
        </is>
      </c>
      <c r="C12" s="114" t="inlineStr">
        <is>
          <t>채용팀 (수시)</t>
        </is>
      </c>
      <c r="D12" s="114" t="inlineStr">
        <is>
          <t>심전도(ECG) 및 활력징후(V/S) 시계열 딥러닝 예측 (DeepCARS)</t>
        </is>
      </c>
      <c r="E12" s="114" t="inlineStr">
        <is>
          <t>수시 인재풀 등록</t>
        </is>
      </c>
      <c r="F12" s="115" t="inlineStr">
        <is>
          <t>상시 채용</t>
        </is>
      </c>
      <c r="G12" s="114" t="inlineStr">
        <is>
          <t>Python, PyTorch, 시계열 신호처리 모델링</t>
        </is>
      </c>
      <c r="H12" s="116" t="inlineStr">
        <is>
          <t>https://vuno.co/career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6" customWidth="1" min="2" max="2"/>
    <col width="45" customWidth="1" min="3" max="3"/>
    <col width="23" customWidth="1" min="4" max="4"/>
    <col width="20" customWidth="1" min="5" max="5"/>
    <col width="50" customWidth="1" min="6" max="6"/>
    <col width="43" customWidth="1" min="7" max="7"/>
    <col width="38" customWidth="1" min="8" max="8"/>
    <col width="36" customWidth="1" min="9" max="9"/>
  </cols>
  <sheetData>
    <row r="1" ht="28" customHeight="1">
      <c r="A1" s="112" t="inlineStr">
        <is>
          <t>기업명</t>
        </is>
      </c>
      <c r="B1" s="112" t="inlineStr">
        <is>
          <t>포지션 구분</t>
        </is>
      </c>
      <c r="C1" s="112" t="inlineStr">
        <is>
          <t>포지션명</t>
        </is>
      </c>
      <c r="D1" s="112" t="inlineStr">
        <is>
          <t>근무 기간</t>
        </is>
      </c>
      <c r="E1" s="112" t="inlineStr">
        <is>
          <t>마감 일정</t>
        </is>
      </c>
      <c r="F1" s="112" t="inlineStr">
        <is>
          <t>담당 업무</t>
        </is>
      </c>
      <c r="G1" s="112" t="inlineStr">
        <is>
          <t>요구 기술 스택</t>
        </is>
      </c>
      <c r="H1" s="112" t="inlineStr">
        <is>
          <t>비즈니스 도메인 / 특징</t>
        </is>
      </c>
      <c r="I1" s="112" t="inlineStr">
        <is>
          <t>채용 플랫폼 직결 링크</t>
        </is>
      </c>
    </row>
    <row r="2" ht="28" customHeight="1">
      <c r="A2" s="115" t="inlineStr">
        <is>
          <t>당근 (Daangn)</t>
        </is>
      </c>
      <c r="B2" s="114" t="inlineStr">
        <is>
          <t>Data Analyst</t>
        </is>
      </c>
      <c r="C2" s="114" t="inlineStr">
        <is>
          <t>AI-Driven Data Analyst (인턴)</t>
        </is>
      </c>
      <c r="D2" s="114" t="inlineStr">
        <is>
          <t>3~6개월</t>
        </is>
      </c>
      <c r="E2" s="115" t="inlineStr">
        <is>
          <t>상시 (ASAP)</t>
        </is>
      </c>
      <c r="F2" s="114" t="inlineStr">
        <is>
          <t>지표 체계 수립, 이상 탐지 모델, A/B 테스트 가설 검증</t>
        </is>
      </c>
      <c r="G2" s="114" t="inlineStr">
        <is>
          <t>SQL, Python, A/B Test 통계 검증</t>
        </is>
      </c>
      <c r="H2" s="114" t="inlineStr">
        <is>
          <t>하이퍼로컬 플랫폼 / 머신러닝 실험</t>
        </is>
      </c>
      <c r="I2" s="116" t="inlineStr">
        <is>
          <t>https://www.superookie.com/jobs?keyword=%EB%8B%B9%EA%B7%BC</t>
        </is>
      </c>
    </row>
    <row r="3" ht="28" customHeight="1">
      <c r="A3" s="115" t="inlineStr">
        <is>
          <t>당근 (Daangn)</t>
        </is>
      </c>
      <c r="B3" s="114" t="inlineStr">
        <is>
          <t>Data Analyst</t>
        </is>
      </c>
      <c r="C3" s="114" t="inlineStr">
        <is>
          <t>Cross Product Growth DA (인턴)</t>
        </is>
      </c>
      <c r="D3" s="114" t="inlineStr">
        <is>
          <t>3~6개월</t>
        </is>
      </c>
      <c r="E3" s="115" t="inlineStr">
        <is>
          <t>상시 (ASAP)</t>
        </is>
      </c>
      <c r="F3" s="114" t="inlineStr">
        <is>
          <t>그로스 퍼널 분석, 유저 행동 데이터 코호트 분석</t>
        </is>
      </c>
      <c r="G3" s="114" t="inlineStr">
        <is>
          <t>고급 SQL 쿼리, 시각화 대시보드</t>
        </is>
      </c>
      <c r="H3" s="114" t="inlineStr">
        <is>
          <t>프로덕트 성장 전략</t>
        </is>
      </c>
      <c r="I3" s="116" t="inlineStr">
        <is>
          <t>https://www.superookie.com/jobs?keyword=%EB%8B%B9%EA%B7%BC</t>
        </is>
      </c>
    </row>
    <row r="4" ht="28" customHeight="1">
      <c r="A4" s="115" t="inlineStr">
        <is>
          <t>매스프레소 (콴다)</t>
        </is>
      </c>
      <c r="B4" s="114" t="inlineStr">
        <is>
          <t>Data Analyst</t>
        </is>
      </c>
      <c r="C4" s="114" t="inlineStr">
        <is>
          <t>[인턴] Data Analyst</t>
        </is>
      </c>
      <c r="D4" s="114" t="inlineStr">
        <is>
          <t>3~6개월 (전환 가능)</t>
        </is>
      </c>
      <c r="E4" s="115" t="inlineStr">
        <is>
          <t>상시 채용</t>
        </is>
      </c>
      <c r="F4" s="114" t="inlineStr">
        <is>
          <t>BigQuery 활용 대규모 학습 로그 분석, 지표 정의</t>
        </is>
      </c>
      <c r="G4" s="114" t="inlineStr">
        <is>
          <t>Google BigQuery(SQL), Python/R</t>
        </is>
      </c>
      <c r="H4" s="114" t="inlineStr">
        <is>
          <t>글로벌 에듀테크 / 정규직 전환 검토</t>
        </is>
      </c>
      <c r="I4" s="116" t="inlineStr">
        <is>
          <t>https://www.wanted.co.kr/company/1258</t>
        </is>
      </c>
    </row>
    <row r="5" ht="28" customHeight="1">
      <c r="A5" s="115" t="inlineStr">
        <is>
          <t>쏘카 (SOCAR)</t>
        </is>
      </c>
      <c r="B5" s="114" t="inlineStr">
        <is>
          <t>Data Scientist</t>
        </is>
      </c>
      <c r="C5" s="114" t="inlineStr">
        <is>
          <t>Data Scientist 인턴 (수요예측/배치)</t>
        </is>
      </c>
      <c r="D5" s="114" t="inlineStr">
        <is>
          <t>6개월 (풀타임)</t>
        </is>
      </c>
      <c r="E5" s="115" t="inlineStr">
        <is>
          <t>상시 채용</t>
        </is>
      </c>
      <c r="F5" s="114" t="inlineStr">
        <is>
          <t>카셰어링 수요 예측, 동적 가격 결정(Pricing) 알고리즘</t>
        </is>
      </c>
      <c r="G5" s="114" t="inlineStr">
        <is>
          <t>Python, SQL, 머신러닝 예측 모델</t>
        </is>
      </c>
      <c r="H5" s="114" t="inlineStr">
        <is>
          <t>모빌리티 최적화</t>
        </is>
      </c>
      <c r="I5" s="116" t="inlineStr">
        <is>
          <t>https://www.wanted.co.kr/company/5251</t>
        </is>
      </c>
    </row>
    <row r="6" ht="28" customHeight="1">
      <c r="A6" s="115" t="inlineStr">
        <is>
          <t>원티드랩</t>
        </is>
      </c>
      <c r="B6" s="114" t="inlineStr">
        <is>
          <t>Data Scientist</t>
        </is>
      </c>
      <c r="C6" s="114" t="inlineStr">
        <is>
          <t>[인턴] 데이터 사이언티스트 (AI기술팀)</t>
        </is>
      </c>
      <c r="D6" s="114" t="inlineStr">
        <is>
          <t>3~6개월</t>
        </is>
      </c>
      <c r="E6" s="115" t="inlineStr">
        <is>
          <t>상시 채용</t>
        </is>
      </c>
      <c r="F6" s="114" t="inlineStr">
        <is>
          <t>채용 매칭/추천 알고리즘 설계, 커리어 데이터 예측 모델</t>
        </is>
      </c>
      <c r="G6" s="114" t="inlineStr">
        <is>
          <t>Python, SQL, 머신러닝 기초 이론</t>
        </is>
      </c>
      <c r="H6" s="114" t="inlineStr">
        <is>
          <t>AI 커리어 플랫폼</t>
        </is>
      </c>
      <c r="I6" s="116" t="inlineStr">
        <is>
          <t>https://www.wanted.co.kr/company/10499</t>
        </is>
      </c>
    </row>
    <row r="7" ht="28" customHeight="1">
      <c r="A7" s="115" t="inlineStr">
        <is>
          <t>원티드랩</t>
        </is>
      </c>
      <c r="B7" s="114" t="inlineStr">
        <is>
          <t>Data Analyst</t>
        </is>
      </c>
      <c r="C7" s="114" t="inlineStr">
        <is>
          <t>[인턴] 데이터 분석가</t>
        </is>
      </c>
      <c r="D7" s="114" t="inlineStr">
        <is>
          <t>3~6개월</t>
        </is>
      </c>
      <c r="E7" s="115" t="inlineStr">
        <is>
          <t>상시 채용</t>
        </is>
      </c>
      <c r="F7" s="114" t="inlineStr">
        <is>
          <t>전사 DB SQL 추출, 비즈니스 의사결정 대시보드 구축</t>
        </is>
      </c>
      <c r="G7" s="114" t="inlineStr">
        <is>
          <t>SQL, Python/R, 대시보드 시각화</t>
        </is>
      </c>
      <c r="H7" s="114" t="inlineStr">
        <is>
          <t>전사 비즈니스 KPI 관리</t>
        </is>
      </c>
      <c r="I7" s="116" t="inlineStr">
        <is>
          <t>https://www.wanted.co.kr/company/10499</t>
        </is>
      </c>
    </row>
    <row r="8" ht="28" customHeight="1">
      <c r="A8" s="115" t="inlineStr">
        <is>
          <t>AWS Korea</t>
        </is>
      </c>
      <c r="B8" s="114" t="inlineStr">
        <is>
          <t>Business / Ops Analyst</t>
        </is>
      </c>
      <c r="C8" s="114" t="inlineStr">
        <is>
          <t>Sales Ops Analyst Intern</t>
        </is>
      </c>
      <c r="D8" s="114" t="inlineStr">
        <is>
          <t>6개월 (풀타임)</t>
        </is>
      </c>
      <c r="E8" s="115" t="inlineStr">
        <is>
          <t>상시 (ASAP 마감)</t>
        </is>
      </c>
      <c r="F8" s="114" t="inlineStr">
        <is>
          <t>SAS 영업 운영 데이터 정량 분석, 프로세스 자동화 리포팅</t>
        </is>
      </c>
      <c r="G8" s="114" t="inlineStr">
        <is>
          <t>Excel, SQL, 영문/국문 커뮤니케이션 능통</t>
        </is>
      </c>
      <c r="H8" s="114" t="inlineStr">
        <is>
          <t>글로벌 클라우드 세일즈</t>
        </is>
      </c>
      <c r="I8" s="116" t="inlineStr">
        <is>
          <t>https://www.amazon.jobs/en/locations/seoul-south-korea</t>
        </is>
      </c>
    </row>
    <row r="9" ht="28" customHeight="1">
      <c r="A9" s="115" t="inlineStr">
        <is>
          <t>번개장터</t>
        </is>
      </c>
      <c r="B9" s="114" t="inlineStr">
        <is>
          <t>Data Analyst</t>
        </is>
      </c>
      <c r="C9" s="114" t="inlineStr">
        <is>
          <t>Data Analytics 체험형 인턴</t>
        </is>
      </c>
      <c r="D9" s="114" t="inlineStr">
        <is>
          <t>3~6개월</t>
        </is>
      </c>
      <c r="E9" s="115" t="inlineStr">
        <is>
          <t>상시 채용</t>
        </is>
      </c>
      <c r="F9" s="114" t="inlineStr">
        <is>
          <t>C2C 거래 및 검색 행동 데이터 분석, 정량 코호트 분석</t>
        </is>
      </c>
      <c r="G9" s="114" t="inlineStr">
        <is>
          <t>고급 SQL, 정량 데이터 가설 검정</t>
        </is>
      </c>
      <c r="H9" s="114" t="inlineStr">
        <is>
          <t>중고거래 플랫폼</t>
        </is>
      </c>
      <c r="I9" s="116" t="inlineStr">
        <is>
          <t>https://www.superookie.com/jobs?keyword=%EB%8B%B9%EA%B7%BC</t>
        </is>
      </c>
    </row>
    <row r="10" ht="28" customHeight="1">
      <c r="A10" s="115" t="inlineStr">
        <is>
          <t>컬리 (Market Kurly)</t>
        </is>
      </c>
      <c r="B10" s="114" t="inlineStr">
        <is>
          <t>Data Analyst</t>
        </is>
      </c>
      <c r="C10" s="114" t="inlineStr">
        <is>
          <t>고객전략팀 데이터 분석 인턴</t>
        </is>
      </c>
      <c r="D10" s="114" t="inlineStr">
        <is>
          <t>3개월</t>
        </is>
      </c>
      <c r="E10" s="115" t="inlineStr">
        <is>
          <t>상시 채용</t>
        </is>
      </c>
      <c r="F10" s="114" t="inlineStr">
        <is>
          <t>고객 세그멘테이션, 프로모션 반응률 예측, 실험 설계</t>
        </is>
      </c>
      <c r="G10" s="114" t="inlineStr">
        <is>
          <t>R, Python, Excel, 고객 분석</t>
        </is>
      </c>
      <c r="H10" s="114" t="inlineStr">
        <is>
          <t>리테일 / 이커머스</t>
        </is>
      </c>
      <c r="I10" s="116" t="inlineStr">
        <is>
          <t>https://www.superookie.com/jobs?keyword=%EC%BB%AC%EB%A6%AC</t>
        </is>
      </c>
    </row>
    <row r="11" ht="28" customHeight="1">
      <c r="A11" s="115" t="inlineStr">
        <is>
          <t>플렉스 (flex)</t>
        </is>
      </c>
      <c r="B11" s="114" t="inlineStr">
        <is>
          <t>Data Analyst</t>
        </is>
      </c>
      <c r="C11" s="114" t="inlineStr">
        <is>
          <t>Data Analyst Intern (채용연계형)</t>
        </is>
      </c>
      <c r="D11" s="114" t="inlineStr">
        <is>
          <t>6개월</t>
        </is>
      </c>
      <c r="E11" s="115" t="inlineStr">
        <is>
          <t>상시 채용</t>
        </is>
      </c>
      <c r="F11" s="114" t="inlineStr">
        <is>
          <t>B2B SaaS 지표 정의, Tableau 대시보드, 퍼널 분석</t>
        </is>
      </c>
      <c r="G11" s="114" t="inlineStr">
        <is>
          <t>SQL, Tableau, 데이터 마트 모델링</t>
        </is>
      </c>
      <c r="H11" s="114" t="inlineStr">
        <is>
          <t>HR Tech SaaS</t>
        </is>
      </c>
      <c r="I11" s="116" t="inlineStr">
        <is>
          <t>https://www.superookie.com/jobs?keyword=%ED%94%8C%EB%A0%89%EC%8A%A4</t>
        </is>
      </c>
    </row>
    <row r="12" ht="28" customHeight="1">
      <c r="A12" s="115" t="inlineStr">
        <is>
          <t>클래스101</t>
        </is>
      </c>
      <c r="B12" s="114" t="inlineStr">
        <is>
          <t>Data Analyst</t>
        </is>
      </c>
      <c r="C12" s="114" t="inlineStr">
        <is>
          <t>[인턴] Data Analyst</t>
        </is>
      </c>
      <c r="D12" s="114" t="inlineStr">
        <is>
          <t>3~6개월</t>
        </is>
      </c>
      <c r="E12" s="115" t="inlineStr">
        <is>
          <t>상시 채용</t>
        </is>
      </c>
      <c r="F12" s="114" t="inlineStr">
        <is>
          <t>로그 정합성 검증, A/B 테스트 설계, 데이터 마트 모델링</t>
        </is>
      </c>
      <c r="G12" s="114" t="inlineStr">
        <is>
          <t>SQL 쿼리 작성, 데이터 가공</t>
        </is>
      </c>
      <c r="H12" s="114" t="inlineStr">
        <is>
          <t>글로벌 구독 플랫폼</t>
        </is>
      </c>
      <c r="I12" s="116" t="inlineStr">
        <is>
          <t>https://www.wanted.co.kr/search?query=%ED%81%B4%EB%9E%98%EC%8A%A4101%20Data%20Analyst</t>
        </is>
      </c>
    </row>
    <row r="13" ht="28" customHeight="1">
      <c r="A13" s="115" t="inlineStr">
        <is>
          <t>와이즐리 (Wisely)</t>
        </is>
      </c>
      <c r="B13" s="114" t="inlineStr">
        <is>
          <t>Data Analyst</t>
        </is>
      </c>
      <c r="C13" s="114" t="inlineStr">
        <is>
          <t>[인턴] 데이터 분석가</t>
        </is>
      </c>
      <c r="D13" s="114" t="inlineStr">
        <is>
          <t>3~6개월</t>
        </is>
      </c>
      <c r="E13" s="115" t="inlineStr">
        <is>
          <t>상시 채용</t>
        </is>
      </c>
      <c r="F13" s="114" t="inlineStr">
        <is>
          <t>구독/수요 예측 모델링, A/B 테스트 정량 통계 분석</t>
        </is>
      </c>
      <c r="G13" s="114" t="inlineStr">
        <is>
          <t>SQL, Python/R, 회귀분석/가설검정</t>
        </is>
      </c>
      <c r="H13" s="114" t="inlineStr">
        <is>
          <t>D2C 커머스</t>
        </is>
      </c>
      <c r="I13" s="116" t="inlineStr">
        <is>
          <t>https://www.wanted.co.kr/search?query=%EC%99%80%EC%9D%B4%EC%A6%90%EB%A6%AC%20%EB%8D%B0%EC%9D%B4%ED%84%B0</t>
        </is>
      </c>
    </row>
    <row r="14" ht="28" customHeight="1">
      <c r="A14" s="115" t="inlineStr">
        <is>
          <t>레브잇 (올웨이즈)</t>
        </is>
      </c>
      <c r="B14" s="114" t="inlineStr">
        <is>
          <t>Data Analyst</t>
        </is>
      </c>
      <c r="C14" s="114" t="inlineStr">
        <is>
          <t>[인턴] Data Analyst</t>
        </is>
      </c>
      <c r="D14" s="114" t="inlineStr">
        <is>
          <t>3~6개월</t>
        </is>
      </c>
      <c r="E14" s="115" t="inlineStr">
        <is>
          <t>상시 채용</t>
        </is>
      </c>
      <c r="F14" s="114" t="inlineStr">
        <is>
          <t>대규모 사용자 행동 로그 분석, 리텐션 분석</t>
        </is>
      </c>
      <c r="G14" s="114" t="inlineStr">
        <is>
          <t>SQL, 수리통계학 기반 분석</t>
        </is>
      </c>
      <c r="H14" s="114" t="inlineStr">
        <is>
          <t>초고속 성장 모바일 커머스</t>
        </is>
      </c>
      <c r="I14" s="116" t="inlineStr">
        <is>
          <t>https://www.wanted.co.kr/search?query=%EB%A0%88%EB%8Ext%EC%9E%87%20Data%20Analyst</t>
        </is>
      </c>
    </row>
    <row r="15" ht="28" customHeight="1">
      <c r="A15" s="115" t="inlineStr">
        <is>
          <t>Coupang</t>
        </is>
      </c>
      <c r="B15" s="114" t="inlineStr">
        <is>
          <t>Business Analyst</t>
        </is>
      </c>
      <c r="C15" s="114" t="inlineStr">
        <is>
          <t>Junior Business Analyst (Catalog Quality)</t>
        </is>
      </c>
      <c r="D15" s="114" t="inlineStr">
        <is>
          <t>정규직 / 주니어</t>
        </is>
      </c>
      <c r="E15" s="115" t="inlineStr">
        <is>
          <t>수시 채용</t>
        </is>
      </c>
      <c r="F15" s="114" t="inlineStr">
        <is>
          <t>카탈로그 운영 데이터 분석, 품질 이상 탐지 모델 모니터링</t>
        </is>
      </c>
      <c r="G15" s="114" t="inlineStr">
        <is>
          <t>SQL, Python 자동화, 문제 해결력</t>
        </is>
      </c>
      <c r="H15" s="114" t="inlineStr">
        <is>
          <t>글로벌 이커머스</t>
        </is>
      </c>
      <c r="I15" s="116" t="inlineStr">
        <is>
          <t>https://www.coupang.jobs/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3" customWidth="1" min="1" max="1"/>
    <col width="43" customWidth="1" min="2" max="2"/>
    <col width="22" customWidth="1" min="3" max="3"/>
    <col width="37" customWidth="1" min="4" max="4"/>
    <col width="50" customWidth="1" min="5" max="5"/>
    <col width="50" customWidth="1" min="6" max="6"/>
    <col width="50" customWidth="1" min="7" max="7"/>
    <col width="36" customWidth="1" min="8" max="8"/>
  </cols>
  <sheetData>
    <row r="1" ht="28" customHeight="1">
      <c r="A1" s="112" t="inlineStr">
        <is>
          <t>기업명</t>
        </is>
      </c>
      <c r="B1" s="112" t="inlineStr">
        <is>
          <t>포지션명</t>
        </is>
      </c>
      <c r="C1" s="112" t="inlineStr">
        <is>
          <t>근무 기간</t>
        </is>
      </c>
      <c r="D1" s="112" t="inlineStr">
        <is>
          <t>모집 주기</t>
        </is>
      </c>
      <c r="E1" s="112" t="inlineStr">
        <is>
          <t>주요 업무</t>
        </is>
      </c>
      <c r="F1" s="112" t="inlineStr">
        <is>
          <t>지원 자격 및 우대 역량</t>
        </is>
      </c>
      <c r="G1" s="112" t="inlineStr">
        <is>
          <t>지원 방법 및 접수처</t>
        </is>
      </c>
      <c r="H1" s="112" t="inlineStr">
        <is>
          <t>공식 채용 직결 링크</t>
        </is>
      </c>
    </row>
    <row r="2" ht="28" customHeight="1">
      <c r="A2" s="115" t="inlineStr">
        <is>
          <t>Bain &amp; Company Seoul</t>
        </is>
      </c>
      <c r="B2" s="114" t="inlineStr">
        <is>
          <t>Associate Consultant Trainee (ACT)</t>
        </is>
      </c>
      <c r="C2" s="114" t="inlineStr">
        <is>
          <t>2~3개월 연속</t>
        </is>
      </c>
      <c r="D2" s="114" t="inlineStr">
        <is>
          <t>연 3회 정기 (봄/여름/겨울) &amp; 수시</t>
        </is>
      </c>
      <c r="E2" s="114" t="inlineStr">
        <is>
          <t>실제 클라이언트 케이스 투입, 정량 데이터/재무 분석, 산업 리서치</t>
        </is>
      </c>
      <c r="F2" s="114" t="inlineStr">
        <is>
          <t>학부/대학원생 (전공 무관), 논리적 사고력, 한국어/영어 능통</t>
        </is>
      </c>
      <c r="G2" s="114" t="inlineStr">
        <is>
          <t>Bain Careers 온라인 또는 Recruiting.Seoul@Bain.com</t>
        </is>
      </c>
      <c r="H2" s="116" t="inlineStr">
        <is>
          <t>https://www.bain.com/careers/roles/act/</t>
        </is>
      </c>
    </row>
    <row r="3" ht="28" customHeight="1">
      <c r="A3" s="115" t="inlineStr">
        <is>
          <t>McKinsey &amp; Company Seoul</t>
        </is>
      </c>
      <c r="B3" s="114" t="inlineStr">
        <is>
          <t>Summer Business Analyst Intern</t>
        </is>
      </c>
      <c r="C3" s="114" t="inlineStr">
        <is>
          <t>8~10주 (하계)</t>
        </is>
      </c>
      <c r="D3" s="114" t="inlineStr">
        <is>
          <t>매년 가을 공채 (페널티메이트)</t>
        </is>
      </c>
      <c r="E3" s="114" t="inlineStr">
        <is>
          <t>클라이언트 전략 수립 지원, 가설 검증, 정량 데이터 모델링</t>
        </is>
      </c>
      <c r="F3" s="114" t="inlineStr">
        <is>
          <t>학사 페널티메이트 재학생, 탁월한 문제 해결력</t>
        </is>
      </c>
      <c r="G3" s="114" t="inlineStr">
        <is>
          <t>McKinsey Korea Careers</t>
        </is>
      </c>
      <c r="H3" s="116" t="inlineStr">
        <is>
          <t>https://www.mckinsey.com/kr/careers</t>
        </is>
      </c>
    </row>
    <row r="4" ht="28" customHeight="1">
      <c r="A4" s="115" t="inlineStr">
        <is>
          <t>McKinsey &amp; Company Seoul</t>
        </is>
      </c>
      <c r="B4" s="114" t="inlineStr">
        <is>
          <t>Project Research Assistant (RA)</t>
        </is>
      </c>
      <c r="C4" s="114" t="inlineStr">
        <is>
          <t>1~3개월 (프로젝트)</t>
        </is>
      </c>
      <c r="D4" s="114" t="inlineStr">
        <is>
          <t>수시 채용</t>
        </is>
      </c>
      <c r="E4" s="114" t="inlineStr">
        <is>
          <t>산업 벤치마킹, 데스크 리서치, 전문가 인터뷰 보조</t>
        </is>
      </c>
      <c r="F4" s="114" t="inlineStr">
        <is>
          <t>학부 3학년 이상, 영어 리서치 능통자</t>
        </is>
      </c>
      <c r="G4" s="114" t="inlineStr">
        <is>
          <t>대학 경력개발센터(CDC) 및 수시 공고</t>
        </is>
      </c>
      <c r="H4" s="116" t="inlineStr">
        <is>
          <t>https://www.mckinsey.com/kr/careers</t>
        </is>
      </c>
    </row>
    <row r="5" ht="28" customHeight="1">
      <c r="A5" s="115" t="inlineStr">
        <is>
          <t>Boston Consulting Group (BCG)</t>
        </is>
      </c>
      <c r="B5" s="114" t="inlineStr">
        <is>
          <t>Summer Associate Program</t>
        </is>
      </c>
      <c r="C5" s="114" t="inlineStr">
        <is>
          <t>8주 (하계)</t>
        </is>
      </c>
      <c r="D5" s="114" t="inlineStr">
        <is>
          <t>연 1회 정기 공채</t>
        </is>
      </c>
      <c r="E5" s="114" t="inlineStr">
        <is>
          <t>전략 컨설팅 프로젝트 핵심 팀원 투입, 우수자 리턴 오퍼</t>
        </is>
      </c>
      <c r="F5" s="114" t="inlineStr">
        <is>
          <t>학부 페널티메이트 재학생, 케이스 인터뷰 통과자</t>
        </is>
      </c>
      <c r="G5" s="114" t="inlineStr">
        <is>
          <t>BCG Careers Korea</t>
        </is>
      </c>
      <c r="H5" s="116" t="inlineStr">
        <is>
          <t>https://careers.bcg.com/</t>
        </is>
      </c>
    </row>
    <row r="6" ht="28" customHeight="1">
      <c r="A6" s="115" t="inlineStr">
        <is>
          <t>Boston Consulting Group (BCG)</t>
        </is>
      </c>
      <c r="B6" s="114" t="inlineStr">
        <is>
          <t>Project RA / Project Intern</t>
        </is>
      </c>
      <c r="C6" s="114" t="inlineStr">
        <is>
          <t>2~3개월 (프로젝트)</t>
        </is>
      </c>
      <c r="D6" s="114" t="inlineStr">
        <is>
          <t>수시 채용</t>
        </is>
      </c>
      <c r="E6" s="114" t="inlineStr">
        <is>
          <t>데이터 수집/정제, 시장 규모 추정, 슬라이드 구조화</t>
        </is>
      </c>
      <c r="F6" s="114" t="inlineStr">
        <is>
          <t>학부생, 엑셀/데이터 분석 숙련자</t>
        </is>
      </c>
      <c r="G6" s="114" t="inlineStr">
        <is>
          <t>대학 CDC 및 링크드인 공고</t>
        </is>
      </c>
      <c r="H6" s="116" t="inlineStr">
        <is>
          <t>https://careers.bcg.com/</t>
        </is>
      </c>
    </row>
    <row r="7" ht="28" customHeight="1">
      <c r="A7" s="115" t="inlineStr">
        <is>
          <t>Kearney Korea (커니 코리아)</t>
        </is>
      </c>
      <c r="B7" s="114" t="inlineStr">
        <is>
          <t>Research Assistant (RA)</t>
        </is>
      </c>
      <c r="C7" s="114" t="inlineStr">
        <is>
          <t>2~3개월 (프로젝트)</t>
        </is>
      </c>
      <c r="D7" s="114" t="inlineStr">
        <is>
          <t>상시 수시 채용</t>
        </is>
      </c>
      <c r="E7" s="114" t="inlineStr">
        <is>
          <t>전략 프로젝트 정량 데이터 분석, 벤치마킹, 인터뷰 지원</t>
        </is>
      </c>
      <c r="F7" s="114" t="inlineStr">
        <is>
          <t>학부 3학년 이상, SQL 데이터 추출 가능자 우대</t>
        </is>
      </c>
      <c r="G7" s="114" t="inlineStr">
        <is>
          <t>seoul.recruiting@kearney.com 영문 이력서 송부</t>
        </is>
      </c>
      <c r="H7" s="116" t="inlineStr">
        <is>
          <t>https://www.superookie.com/jobs?keyword=%EC%BB%A4%EB%8B%88</t>
        </is>
      </c>
    </row>
    <row r="8" ht="28" customHeight="1">
      <c r="A8" s="115" t="inlineStr">
        <is>
          <t>Oliver Wyman Seoul</t>
        </is>
      </c>
      <c r="B8" s="114" t="inlineStr">
        <is>
          <t>Retirement Consulting / Strategy Intern</t>
        </is>
      </c>
      <c r="C8" s="114" t="inlineStr">
        <is>
          <t>3~6개월 (전환형)</t>
        </is>
      </c>
      <c r="D8" s="114" t="inlineStr">
        <is>
          <t>상시 채용</t>
        </is>
      </c>
      <c r="E8" s="114" t="inlineStr">
        <is>
          <t>전략 컨설팅 및 리서치, 계리/통계 데이터 모델링</t>
        </is>
      </c>
      <c r="F8" s="114" t="inlineStr">
        <is>
          <t>학사 졸업(예정)자, 여의도 3 IFC 오피스 근무</t>
        </is>
      </c>
      <c r="G8" s="114" t="inlineStr">
        <is>
          <t>Marsh McLennan / Oliver Wyman Careers</t>
        </is>
      </c>
      <c r="H8" s="116" t="inlineStr">
        <is>
          <t>https://www.oliverwyman.com/careers.html</t>
        </is>
      </c>
    </row>
    <row r="9" ht="28" customHeight="1">
      <c r="A9" s="115" t="inlineStr">
        <is>
          <t>Arthur D. Little (ADL Korea)</t>
        </is>
      </c>
      <c r="B9" s="114" t="inlineStr">
        <is>
          <t>Research Associate (RA) - 전환형</t>
        </is>
      </c>
      <c r="C9" s="114" t="inlineStr">
        <is>
          <t>3~6개월</t>
        </is>
      </c>
      <c r="D9" s="114" t="inlineStr">
        <is>
          <t>상시 채용</t>
        </is>
      </c>
      <c r="E9" s="114" t="inlineStr">
        <is>
          <t>신사업 전략 리서치, 인터뷰, 데이터 분석 (조기 정규직 전환)</t>
        </is>
      </c>
      <c r="F9" s="114" t="inlineStr">
        <is>
          <t>학·석사 졸업(예정)자, 영문 리서치 및 코딩 우대</t>
        </is>
      </c>
      <c r="G9" s="114" t="inlineStr">
        <is>
          <t>careers.korea@adlittle.com 영문 Resume 제출</t>
        </is>
      </c>
      <c r="H9" s="116" t="inlineStr">
        <is>
          <t>https://www.adlittle.com/en/careers</t>
        </is>
      </c>
    </row>
    <row r="10" ht="28" customHeight="1">
      <c r="A10" s="115" t="inlineStr">
        <is>
          <t>Reddal Korea (레달 코리아)</t>
        </is>
      </c>
      <c r="B10" s="114" t="inlineStr">
        <is>
          <t>Business Analyst Intern (사업개발/전략)</t>
        </is>
      </c>
      <c r="C10" s="114" t="inlineStr">
        <is>
          <t>3~6개월</t>
        </is>
      </c>
      <c r="D10" s="114" t="inlineStr">
        <is>
          <t>수시 채용 (ASAP)</t>
        </is>
      </c>
      <c r="E10" s="114" t="inlineStr">
        <is>
          <t>핀란드 기반 글로벌 전략 펌, 헬싱키 본사 트레이닝 및 해외 프로젝트</t>
        </is>
      </c>
      <c r="F10" s="114" t="inlineStr">
        <is>
          <t>졸업(예정)자, 비즈니스 영어 능통자 필수</t>
        </is>
      </c>
      <c r="G10" s="116" t="inlineStr">
        <is>
          <t>http://reddal.com/join-reddal/ 또는 슈퍼루키</t>
        </is>
      </c>
      <c r="H10" s="116" t="inlineStr">
        <is>
          <t>https://www.superookie.com/jobs?keyword=%EB%A0%88%EB%8B%AC</t>
        </is>
      </c>
    </row>
    <row r="11" ht="28" customHeight="1">
      <c r="A11" s="115" t="inlineStr">
        <is>
          <t>EY-Parthenon (전략자문)</t>
        </is>
      </c>
      <c r="B11" s="114" t="inlineStr">
        <is>
          <t>Strategy T-Plus RA 인턴</t>
        </is>
      </c>
      <c r="C11" s="114" t="inlineStr">
        <is>
          <t>3~6개월</t>
        </is>
      </c>
      <c r="D11" s="114" t="inlineStr">
        <is>
          <t>상시 수시 채용</t>
        </is>
      </c>
      <c r="E11" s="114" t="inlineStr">
        <is>
          <t>M&amp;A 상업적 실사(CDD), 신사업 전략 시장/재무 데이터 분석</t>
        </is>
      </c>
      <c r="F11" s="114" t="inlineStr">
        <is>
          <t>재무/데이터 분석 기초 지식, 엑셀 능숙자</t>
        </is>
      </c>
      <c r="G11" s="114" t="inlineStr">
        <is>
          <t>EY Korea Careers / 슈퍼루키</t>
        </is>
      </c>
      <c r="H11" s="116" t="inlineStr">
        <is>
          <t>https://www.superookie.com/jobs?keyword=EY%ED%95%9C%EC%98%81</t>
        </is>
      </c>
    </row>
    <row r="12" ht="28" customHeight="1">
      <c r="A12" s="115" t="inlineStr">
        <is>
          <t>LG경영개발원</t>
        </is>
      </c>
      <c r="B12" s="114" t="inlineStr">
        <is>
          <t>경영전략 리서치 RA</t>
        </is>
      </c>
      <c r="C12" s="114" t="inlineStr">
        <is>
          <t>3~6개월</t>
        </is>
      </c>
      <c r="D12" s="114" t="inlineStr">
        <is>
          <t>상시 수시 채용</t>
        </is>
      </c>
      <c r="E12" s="114" t="inlineStr">
        <is>
          <t>글로벌 거시경제, 테크 트렌드, AI 시장 리서치 보고서 작성</t>
        </is>
      </c>
      <c r="F12" s="114" t="inlineStr">
        <is>
          <t>학부 재학생/휴학생, 영문 보고서 작성 역량</t>
        </is>
      </c>
      <c r="G12" s="114" t="inlineStr">
        <is>
          <t>피플앤잡 / 자사 채용</t>
        </is>
      </c>
      <c r="H12" s="116" t="inlineStr">
        <is>
          <t>https://www.peoplenjob.com/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G10" r:id="rId9"/>
    <hyperlink xmlns:r="http://schemas.openxmlformats.org/officeDocument/2006/relationships" ref="H10" r:id="rId10"/>
    <hyperlink xmlns:r="http://schemas.openxmlformats.org/officeDocument/2006/relationships" ref="H11" r:id="rId11"/>
    <hyperlink xmlns:r="http://schemas.openxmlformats.org/officeDocument/2006/relationships" ref="H12" r:id="rId1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33" customWidth="1" min="2" max="2"/>
    <col width="50" customWidth="1" min="3" max="3"/>
    <col width="42" customWidth="1" min="4" max="4"/>
    <col width="32" customWidth="1" min="5" max="5"/>
    <col width="50" customWidth="1" min="6" max="6"/>
    <col width="50" customWidth="1" min="7" max="7"/>
    <col width="50" customWidth="1" min="8" max="8"/>
    <col width="36" customWidth="1" min="9" max="9"/>
  </cols>
  <sheetData>
    <row r="1" ht="28" customHeight="1">
      <c r="A1" s="112" t="inlineStr">
        <is>
          <t>기업명</t>
        </is>
      </c>
      <c r="B1" s="112" t="inlineStr">
        <is>
          <t>전형 명칭</t>
        </is>
      </c>
      <c r="C1" s="112" t="inlineStr">
        <is>
          <t>모집 사업부 / 직무</t>
        </is>
      </c>
      <c r="D1" s="112" t="inlineStr">
        <is>
          <t>접수 시기</t>
        </is>
      </c>
      <c r="E1" s="112" t="inlineStr">
        <is>
          <t>실습 기간</t>
        </is>
      </c>
      <c r="F1" s="112" t="inlineStr">
        <is>
          <t>지원 자격 (UCL 기준)</t>
        </is>
      </c>
      <c r="G1" s="112" t="inlineStr">
        <is>
          <t>선발 전형 단계</t>
        </is>
      </c>
      <c r="H1" s="112" t="inlineStr">
        <is>
          <t>정규직 전환 및 혜택</t>
        </is>
      </c>
      <c r="I1" s="112" t="inlineStr">
        <is>
          <t>공식 채용 포털 직결 링크</t>
        </is>
      </c>
    </row>
    <row r="2" ht="28" customHeight="1">
      <c r="A2" s="115" t="inlineStr">
        <is>
          <t>삼성전자 DX부문</t>
        </is>
      </c>
      <c r="B2" s="114" t="inlineStr">
        <is>
          <t>해외대 학부 하계 인턴십</t>
        </is>
      </c>
      <c r="C2" s="114" t="inlineStr">
        <is>
          <t>Samsung Research, MX사업부, 빅데이터센터, 영상디스플레이</t>
        </is>
      </c>
      <c r="D2" s="115" t="inlineStr">
        <is>
          <t>2027년 2월 말 ~ 3월 초</t>
        </is>
      </c>
      <c r="E2" s="114" t="inlineStr">
        <is>
          <t>하계 6주 (7월 초 ~ 8월 중순)</t>
        </is>
      </c>
      <c r="F2" s="114" t="inlineStr">
        <is>
          <t>해외 대학 학부 재학생 (2028년 6월 졸업 예정자 완벽 부합), 군필자</t>
        </is>
      </c>
      <c r="G2" s="114" t="inlineStr">
        <is>
          <t>지원서 접수 → 온라인 GSAT / SW테스트 → 화상 면접 → 인턴 입과</t>
        </is>
      </c>
      <c r="H2" s="114" t="inlineStr">
        <is>
          <t>인턴 수료 평가 후 정규직 신입 입사 확정 (전환율 매우 높음)</t>
        </is>
      </c>
      <c r="I2" s="116" t="inlineStr">
        <is>
          <t>https://www.samsungcareers.com/</t>
        </is>
      </c>
    </row>
    <row r="3" ht="28" customHeight="1">
      <c r="A3" s="115" t="inlineStr">
        <is>
          <t>삼성전자 DS부문</t>
        </is>
      </c>
      <c r="B3" s="114" t="inlineStr">
        <is>
          <t>해외대 학부 하계 인턴십</t>
        </is>
      </c>
      <c r="C3" s="114" t="inlineStr">
        <is>
          <t>System LSI, 반도체 AI 연구소, 파운드리 SW</t>
        </is>
      </c>
      <c r="D3" s="115" t="inlineStr">
        <is>
          <t>2027년 2월 말 ~ 3월 초</t>
        </is>
      </c>
      <c r="E3" s="114" t="inlineStr">
        <is>
          <t>하계 6주 (7월 초 ~ 8월 중순)</t>
        </is>
      </c>
      <c r="F3" s="114" t="inlineStr">
        <is>
          <t>해외대 학부 재학생, 전기전자/컴공/데이터/뇌공학 전공</t>
        </is>
      </c>
      <c r="G3" s="114" t="inlineStr">
        <is>
          <t>지원서 접수 → GSAT/SW테스트 → 화상 면접</t>
        </is>
      </c>
      <c r="H3" s="114" t="inlineStr">
        <is>
          <t>정규직 신입 전환 기회 부여</t>
        </is>
      </c>
      <c r="I3" s="116" t="inlineStr">
        <is>
          <t>https://www.samsungcareers.com/</t>
        </is>
      </c>
    </row>
    <row r="4" ht="28" customHeight="1">
      <c r="A4" s="115" t="inlineStr">
        <is>
          <t>현대자동차</t>
        </is>
      </c>
      <c r="B4" s="114" t="inlineStr">
        <is>
          <t>H-Experience 해외대 인턴십</t>
        </is>
      </c>
      <c r="C4" s="114" t="inlineStr">
        <is>
          <t>SDV(차량 데이터 분석), 자율주행 SW, Robotics, Feature UX</t>
        </is>
      </c>
      <c r="D4" s="115" t="inlineStr">
        <is>
          <t>2027년 4월 초 (약 2주간)</t>
        </is>
      </c>
      <c r="E4" s="114" t="inlineStr">
        <is>
          <t>하계 5~8주 (7월 ~ 8월)</t>
        </is>
      </c>
      <c r="F4" s="114" t="inlineStr">
        <is>
          <t>해외 학사/석사 재학생 및 1년 이내 졸업자, 한국어/영어 능통</t>
        </is>
      </c>
      <c r="G4" s="114" t="inlineStr">
        <is>
          <t>서류 전형 → 코딩테스트 / AI 역량검사 → 화상 실무면접</t>
        </is>
      </c>
      <c r="H4" s="114" t="inlineStr">
        <is>
          <t>우수 수료자 대상 최종면접 후 정규직 채용</t>
        </is>
      </c>
      <c r="I4" s="116" t="inlineStr">
        <is>
          <t>https://talent.hyundai.com/</t>
        </is>
      </c>
    </row>
    <row r="5" ht="28" customHeight="1">
      <c r="A5" s="115" t="inlineStr">
        <is>
          <t>LG AI연구원</t>
        </is>
      </c>
      <c r="B5" s="114" t="inlineStr">
        <is>
          <t>글로벌 Summer Research Intern</t>
        </is>
      </c>
      <c r="C5" s="114" t="inlineStr">
        <is>
          <t>Foundation Model, 언어, 비전, Brain-inspired AI</t>
        </is>
      </c>
      <c r="D5" s="115" t="inlineStr">
        <is>
          <t>2026년 12월 ~ 2027년 1월 (조기) / 수시</t>
        </is>
      </c>
      <c r="E5" s="114" t="inlineStr">
        <is>
          <t>하계 8주 (마곡 사이언스파크)</t>
        </is>
      </c>
      <c r="F5" s="114" t="inlineStr">
        <is>
          <t>PyTorch 딥러닝 연구 역량 보유 학·석사, 최상위 컨퍼런스 논문 우대</t>
        </is>
      </c>
      <c r="G5" s="114" t="inlineStr">
        <is>
          <t>서류 심사 → 코딩테스트 → 연구 기술면접 (2회)</t>
        </is>
      </c>
      <c r="H5" s="114" t="inlineStr">
        <is>
          <t>정규 연구원 전환 및 글로벌 펠로우십 연계</t>
        </is>
      </c>
      <c r="I5" s="116" t="inlineStr">
        <is>
          <t>https://careers.lg.com/</t>
        </is>
      </c>
    </row>
    <row r="6" ht="28" customHeight="1">
      <c r="A6" s="115" t="inlineStr">
        <is>
          <t>SK텔레콤</t>
        </is>
      </c>
      <c r="B6" s="114" t="inlineStr">
        <is>
          <t>Junior Talent (Global Track)</t>
        </is>
      </c>
      <c r="C6" s="114" t="inlineStr">
        <is>
          <t>AI Agent 개발, Telco AI, Tech Infra, Data Analytics</t>
        </is>
      </c>
      <c r="D6" s="115" t="inlineStr">
        <is>
          <t>매년 8~9월 (메인) 및 봄 수시</t>
        </is>
      </c>
      <c r="E6" s="114" t="inlineStr">
        <is>
          <t>2개월 인턴십 또는 즉시 입사</t>
        </is>
      </c>
      <c r="F6" s="114" t="inlineStr">
        <is>
          <t>1년 이내 학사 졸업예정자 (전공 무관, 실무 데이터/SW 역량)</t>
        </is>
      </c>
      <c r="G6" s="114" t="inlineStr">
        <is>
          <t>서류 및 수강과목 제출 (자기소개서 면제) → SKCT 인적성 → 직무 인터뷰</t>
        </is>
      </c>
      <c r="H6" s="114" t="inlineStr">
        <is>
          <t>채용연계형 인턴 후 신입 입사</t>
        </is>
      </c>
      <c r="I6" s="116" t="inlineStr">
        <is>
          <t>https://careers.sktelecom.com/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8" customWidth="1" min="2" max="2"/>
    <col width="50" customWidth="1" min="3" max="3"/>
    <col width="24" customWidth="1" min="4" max="4"/>
    <col width="31" customWidth="1" min="5" max="5"/>
    <col width="50" customWidth="1" min="6" max="6"/>
    <col width="50" customWidth="1" min="7" max="7"/>
    <col width="50" customWidth="1" min="8" max="8"/>
    <col width="36" customWidth="1" min="9" max="9"/>
  </cols>
  <sheetData>
    <row r="1" ht="28" customHeight="1">
      <c r="A1" s="112" t="inlineStr">
        <is>
          <t>기업명</t>
        </is>
      </c>
      <c r="B1" s="112" t="inlineStr">
        <is>
          <t>프로그램 / 포지션명</t>
        </is>
      </c>
      <c r="C1" s="112" t="inlineStr">
        <is>
          <t>모집 본부</t>
        </is>
      </c>
      <c r="D1" s="112" t="inlineStr">
        <is>
          <t>근무 기간</t>
        </is>
      </c>
      <c r="E1" s="112" t="inlineStr">
        <is>
          <t>마감 일정</t>
        </is>
      </c>
      <c r="F1" s="112" t="inlineStr">
        <is>
          <t>지원 자격 (UCL 기준)</t>
        </is>
      </c>
      <c r="G1" s="112" t="inlineStr">
        <is>
          <t>선발 프로세스</t>
        </is>
      </c>
      <c r="H1" s="112" t="inlineStr">
        <is>
          <t>주요 업무 및 요구 역량</t>
        </is>
      </c>
      <c r="I1" s="112" t="inlineStr">
        <is>
          <t>공식 지원 직결 링크</t>
        </is>
      </c>
    </row>
    <row r="2" ht="28" customHeight="1">
      <c r="A2" s="115" t="inlineStr">
        <is>
          <t>Morgan Stanley Seoul</t>
        </is>
      </c>
      <c r="B2" s="114" t="inlineStr">
        <is>
          <t>2027 Asia Summer Analyst Program</t>
        </is>
      </c>
      <c r="C2" s="114" t="inlineStr">
        <is>
          <t>Quantitative Finance / Technology / Global Capital Markets / IBD / Equities</t>
        </is>
      </c>
      <c r="D2" s="114" t="inlineStr">
        <is>
          <t>10~12주 (2027.06~08)</t>
        </is>
      </c>
      <c r="E2" s="115" t="inlineStr">
        <is>
          <t>2026.09.27 (상시 심사)</t>
        </is>
      </c>
      <c r="F2" s="114" t="inlineStr">
        <is>
          <t>2027.10 ~ 2028.07 졸업 예정 학사/석사 재학생 (2028년 6월 최적)</t>
        </is>
      </c>
      <c r="G2" s="114" t="inlineStr">
        <is>
          <t>서류 심사 → 화상 면접 → Final Round → 오퍼</t>
        </is>
      </c>
      <c r="H2" s="114" t="inlineStr">
        <is>
          <t>정량 데이터 모델링, 주식/채권 시장 분석, 트레이딩 기술 인프라 지원</t>
        </is>
      </c>
      <c r="I2" s="116" t="inlineStr">
        <is>
          <t>https://www.morganstanley.com/people-opportunities/students-graduates</t>
        </is>
      </c>
    </row>
    <row r="3" ht="28" customHeight="1">
      <c r="A3" s="115" t="inlineStr">
        <is>
          <t>J.P. Morgan Seoul</t>
        </is>
      </c>
      <c r="B3" s="114" t="inlineStr">
        <is>
          <t>2027 Markets Summer Analyst (Research Track)</t>
        </is>
      </c>
      <c r="C3" s="114" t="inlineStr">
        <is>
          <t>Commercial &amp; Investment Bank (Global Research)</t>
        </is>
      </c>
      <c r="D3" s="114" t="inlineStr">
        <is>
          <t>9~10주 (2027 하계)</t>
        </is>
      </c>
      <c r="E3" s="115" t="inlineStr">
        <is>
          <t>2026.09.30 (Rolling 선착순)</t>
        </is>
      </c>
      <c r="F3" s="114" t="inlineStr">
        <is>
          <t>페널티메이트(졸업 전년도) 재학생, 한국어 및 영어 능통자</t>
        </is>
      </c>
      <c r="G3" s="114" t="inlineStr">
        <is>
          <t>서류 접수 → HireVue 비디오 면접 (30일 이내) → Superday 면접</t>
        </is>
      </c>
      <c r="H3" s="114" t="inlineStr">
        <is>
          <t>한국 거시경제/주식/채권 리서치 어시스턴트, 재무 및 계량 데이터 분석</t>
        </is>
      </c>
      <c r="I3" s="116" t="inlineStr">
        <is>
          <t>https://www.jpmorganchase.com/careers</t>
        </is>
      </c>
    </row>
    <row r="4" ht="28" customHeight="1">
      <c r="A4" s="115" t="inlineStr">
        <is>
          <t>Goldman Sachs Seoul</t>
        </is>
      </c>
      <c r="B4" s="114" t="inlineStr">
        <is>
          <t>2027 Summer Analyst Program</t>
        </is>
      </c>
      <c r="C4" s="114" t="inlineStr">
        <is>
          <t>Global Markets / Investment Banking / Operations</t>
        </is>
      </c>
      <c r="D4" s="114" t="inlineStr">
        <is>
          <t>9~11주 (2027 하계)</t>
        </is>
      </c>
      <c r="E4" s="115" t="inlineStr">
        <is>
          <t>2026.10.04</t>
        </is>
      </c>
      <c r="F4" s="114" t="inlineStr">
        <is>
          <t>학·석사 페널티메이트 재학생 (최대 4개 직무 복수 지원 가능)</t>
        </is>
      </c>
      <c r="G4" s="114" t="inlineStr">
        <is>
          <t>온라인 지원 → HackerRank/HireVue → Superday 면접</t>
        </is>
      </c>
      <c r="H4" s="114" t="inlineStr">
        <is>
          <t>파생상품/주식/FICC 거래 지원, 시장 동향 정량 분석, 결제/운영 리스크 관리</t>
        </is>
      </c>
      <c r="I4" s="116" t="inlineStr">
        <is>
          <t>https://www.goldmansachs.com/careers/students/programs/</t>
        </is>
      </c>
    </row>
    <row r="5" ht="28" customHeight="1">
      <c r="A5" s="115" t="inlineStr">
        <is>
          <t>Citigroup Seoul</t>
        </is>
      </c>
      <c r="B5" s="114" t="inlineStr">
        <is>
          <t>2027 Commercial Banking Summer Analyst</t>
        </is>
      </c>
      <c r="C5" s="114" t="inlineStr">
        <is>
          <t>Commercial Banking / Corporate Banking</t>
        </is>
      </c>
      <c r="D5" s="114" t="inlineStr">
        <is>
          <t>10주 (2027 하계)</t>
        </is>
      </c>
      <c r="E5" s="115" t="inlineStr">
        <is>
          <t>2026.10.30</t>
        </is>
      </c>
      <c r="F5" s="114" t="inlineStr">
        <is>
          <t>2027.12 ~ 2028.06 졸업예정자, 한국어/영어 능통자</t>
        </is>
      </c>
      <c r="G5" s="114" t="inlineStr">
        <is>
          <t>서류 심사 → 온라인 인적성/역량검사 → 실무/임원 면접</t>
        </is>
      </c>
      <c r="H5" s="114" t="inlineStr">
        <is>
          <t>중견·대기업 여신 및 금융 솔루션 분석, 재무제표 및 산업 데이터 모델링</t>
        </is>
      </c>
      <c r="I5" s="116" t="inlineStr">
        <is>
          <t>https://jobs.citi.com/search-jobs/Seoul%2C%20South%20Korea/287/4/1835848-1835847/37x56667/126x97806/50/2</t>
        </is>
      </c>
    </row>
    <row r="6" ht="28" customHeight="1">
      <c r="A6" s="115" t="inlineStr">
        <is>
          <t>Citigroup Seoul</t>
        </is>
      </c>
      <c r="B6" s="114" t="inlineStr">
        <is>
          <t>2027 Investment Banking Summer Analyst</t>
        </is>
      </c>
      <c r="C6" s="114" t="inlineStr">
        <is>
          <t>Banking - Investment Banking Division</t>
        </is>
      </c>
      <c r="D6" s="114" t="inlineStr">
        <is>
          <t>10주 (2027 하계)</t>
        </is>
      </c>
      <c r="E6" s="115" t="inlineStr">
        <is>
          <t>2026.10.30</t>
        </is>
      </c>
      <c r="F6" s="114" t="inlineStr">
        <is>
          <t>페널티메이트 재학생, 재무 모델링(DCF/LBO) 기초 이해자</t>
        </is>
      </c>
      <c r="G6" s="114" t="inlineStr">
        <is>
          <t>서류 심사 → 기술/인성 면접</t>
        </is>
      </c>
      <c r="H6" s="114" t="inlineStr">
        <is>
          <t>M&amp;A 실사 보조, 기업 가치 평가(Valuation), 피치북 작성 지원</t>
        </is>
      </c>
      <c r="I6" s="116" t="inlineStr">
        <is>
          <t>https://jobs.citi.com/search-jobs/Seoul%2C%20South%20Korea/287/4/1835848-1835847/37x56667/126x97806/50/2</t>
        </is>
      </c>
    </row>
    <row r="7" ht="28" customHeight="1">
      <c r="A7" s="115" t="inlineStr">
        <is>
          <t>UBS Korea</t>
        </is>
      </c>
      <c r="B7" s="114" t="inlineStr">
        <is>
          <t>2027 Graduate / Intern Talent Program</t>
        </is>
      </c>
      <c r="C7" s="114" t="inlineStr">
        <is>
          <t>Global Markets / Global Research (여의도 오피스)</t>
        </is>
      </c>
      <c r="D7" s="114" t="inlineStr">
        <is>
          <t>정규/인턴 트랙</t>
        </is>
      </c>
      <c r="E7" s="115" t="inlineStr">
        <is>
          <t>2026.09.18 ~ 09.25</t>
        </is>
      </c>
      <c r="F7" s="114" t="inlineStr">
        <is>
          <t>국내외 대학 졸업(예정)자, 한국 시장 금융 데이터 분석 역량</t>
        </is>
      </c>
      <c r="G7" s="114" t="inlineStr">
        <is>
          <t>서류 심사 → 적성 검사 → 다면 화상 인터뷰</t>
        </is>
      </c>
      <c r="H7" s="114" t="inlineStr">
        <is>
          <t>한국 주식/파생상품 세일즈 및 트레이딩 데스크 보조, 리서치 리포트 발간 지원</t>
        </is>
      </c>
      <c r="I7" s="116" t="inlineStr">
        <is>
          <t>https://www.ubs.com/global/en/careers.html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37" customWidth="1" min="2" max="2"/>
    <col width="20" customWidth="1" min="3" max="3"/>
    <col width="31" customWidth="1" min="4" max="4"/>
    <col width="20" customWidth="1" min="5" max="5"/>
    <col width="50" customWidth="1" min="6" max="6"/>
    <col width="50" customWidth="1" min="7" max="7"/>
    <col width="50" customWidth="1" min="8" max="8"/>
    <col width="36" customWidth="1" min="9" max="9"/>
  </cols>
  <sheetData>
    <row r="1" ht="28" customHeight="1">
      <c r="A1" s="112" t="inlineStr">
        <is>
          <t>기업명</t>
        </is>
      </c>
      <c r="B1" s="112" t="inlineStr">
        <is>
          <t>포지션명</t>
        </is>
      </c>
      <c r="C1" s="112" t="inlineStr">
        <is>
          <t>오피스 위치</t>
        </is>
      </c>
      <c r="D1" s="112" t="inlineStr">
        <is>
          <t>고용 형태 / 기간</t>
        </is>
      </c>
      <c r="E1" s="112" t="inlineStr">
        <is>
          <t>마감 일정</t>
        </is>
      </c>
      <c r="F1" s="112" t="inlineStr">
        <is>
          <t>담당 업무</t>
        </is>
      </c>
      <c r="G1" s="112" t="inlineStr">
        <is>
          <t>요구 기술 스택</t>
        </is>
      </c>
      <c r="H1" s="112" t="inlineStr">
        <is>
          <t>규빈 님 매칭 포인트</t>
        </is>
      </c>
      <c r="I1" s="112" t="inlineStr">
        <is>
          <t>원티드/플랫폼 직결 링크</t>
        </is>
      </c>
    </row>
    <row r="2" ht="38" customHeight="1">
      <c r="A2" s="115" t="inlineStr">
        <is>
          <t>딥오토 (DeepAuto)</t>
        </is>
      </c>
      <c r="B2" s="114" t="inlineStr">
        <is>
          <t>[인턴] Agentic AI Engineer</t>
        </is>
      </c>
      <c r="C2" s="114" t="inlineStr">
        <is>
          <t>서울 강남구 역삼</t>
        </is>
      </c>
      <c r="D2" s="114" t="inlineStr">
        <is>
          <t>체험형/채용연계형 인턴</t>
        </is>
      </c>
      <c r="E2" s="115" t="inlineStr">
        <is>
          <t>상시 채용 (ASAP)</t>
        </is>
      </c>
      <c r="F2" s="114" t="inlineStr">
        <is>
          <t>• 에이전트 프롬프트 및 토폴로지 최적화
• 평가 자동화 파이프라인 구축
• MCP (Model Context Protocol) Tool 통합</t>
        </is>
      </c>
      <c r="G2" s="114" t="inlineStr">
        <is>
          <t>Python, LangChain/LlamaIndex, LLM Prompting, MCP 도구 이해</t>
        </is>
      </c>
      <c r="H2" s="118" t="inlineStr">
        <is>
          <t>MCP 연동 실무 경험 및 LLM 분류 파이프라인(κ=0.98) 구축 자산과 100% 일치</t>
        </is>
      </c>
      <c r="I2" s="116" t="inlineStr">
        <is>
          <t>https://www.wanted.co.kr/wd/293701</t>
        </is>
      </c>
    </row>
    <row r="3" ht="38" customHeight="1">
      <c r="A3" s="115" t="inlineStr">
        <is>
          <t>딥오토 (DeepAuto)</t>
        </is>
      </c>
      <c r="B3" s="114" t="inlineStr">
        <is>
          <t>[인턴] AI Engineer</t>
        </is>
      </c>
      <c r="C3" s="114" t="inlineStr">
        <is>
          <t>서울 강남구 역삼</t>
        </is>
      </c>
      <c r="D3" s="114" t="inlineStr">
        <is>
          <t>인턴십</t>
        </is>
      </c>
      <c r="E3" s="115" t="inlineStr">
        <is>
          <t>상시 채용</t>
        </is>
      </c>
      <c r="F3" s="114" t="inlineStr">
        <is>
          <t>• 멀티모달 LLM/VLM 에이전트 설계 및 구현
• OCR, Document AI 모델 설계
• LLM 파인튜닝 및 강화학습(RL) 파이프라인</t>
        </is>
      </c>
      <c r="G3" s="114" t="inlineStr">
        <is>
          <t>Python, PyTorch, 딥러닝 프로젝트 경험, LLM 서빙</t>
        </is>
      </c>
      <c r="H3" s="114" t="inlineStr">
        <is>
          <t>Python 기반 엔드투엔드 파이프라인 구축 및 멀티모달 데이터 처리</t>
        </is>
      </c>
      <c r="I3" s="116" t="inlineStr">
        <is>
          <t>https://www.wanted.co.kr/wd/379363</t>
        </is>
      </c>
    </row>
    <row r="4" ht="38" customHeight="1">
      <c r="A4" s="115" t="inlineStr">
        <is>
          <t>딥오토 (DeepAuto)</t>
        </is>
      </c>
      <c r="B4" s="114" t="inlineStr">
        <is>
          <t>[인턴] MCP Engineer</t>
        </is>
      </c>
      <c r="C4" s="114" t="inlineStr">
        <is>
          <t>서울 강남구 역삼</t>
        </is>
      </c>
      <c r="D4" s="114" t="inlineStr">
        <is>
          <t>인턴십</t>
        </is>
      </c>
      <c r="E4" s="115" t="inlineStr">
        <is>
          <t>상시 채용</t>
        </is>
      </c>
      <c r="F4" s="114" t="inlineStr">
        <is>
          <t>• AI 에이전트 연동 Tool Software(MCP Server) 개발
• Python 라이브러리 및 API 연동 파이프라인 구축</t>
        </is>
      </c>
      <c r="G4" s="114" t="inlineStr">
        <is>
          <t>Python, REST/JSON-RPC, MCP 규격 이해</t>
        </is>
      </c>
      <c r="H4" s="114" t="inlineStr">
        <is>
          <t>MCP Server 직접 연동 및 Zotero-API 자동화 경험 직결</t>
        </is>
      </c>
      <c r="I4" s="116" t="inlineStr">
        <is>
          <t>https://www.wanted.co.kr/wd/293704</t>
        </is>
      </c>
    </row>
    <row r="5" ht="38" customHeight="1">
      <c r="A5" s="115" t="inlineStr">
        <is>
          <t>뤼튼테크놀로지스</t>
        </is>
      </c>
      <c r="B5" s="114" t="inlineStr">
        <is>
          <t>[인턴] Internal Agent Builder</t>
        </is>
      </c>
      <c r="C5" s="114" t="inlineStr">
        <is>
          <t>서울 강남구</t>
        </is>
      </c>
      <c r="D5" s="114" t="inlineStr">
        <is>
          <t>3개월 인턴 (정규 전환 가능)</t>
        </is>
      </c>
      <c r="E5" s="115" t="inlineStr">
        <is>
          <t>상시 채용</t>
        </is>
      </c>
      <c r="F5" s="114" t="inlineStr">
        <is>
          <t>• 사내 비즈니스 업무 자동화를 위한 내부 AI 에이전트 개발
• 다양한 최신 LLM API 연동 및 워크플로우 구축</t>
        </is>
      </c>
      <c r="G5" s="114" t="inlineStr">
        <is>
          <t>Python 또는 Node.js 프로그래밍, LLM API 활용 생산성 도구 구현</t>
        </is>
      </c>
      <c r="H5" s="114" t="inlineStr">
        <is>
          <t>Zotero-LLM API 연동 및 자동화 에이전트 워크플로우 구현 경험</t>
        </is>
      </c>
      <c r="I5" s="116" t="inlineStr">
        <is>
          <t>https://www.wanted.co.kr/company/18629</t>
        </is>
      </c>
    </row>
    <row r="6" ht="38" customHeight="1">
      <c r="A6" s="115" t="inlineStr">
        <is>
          <t>업스테이지 (Upstage)</t>
        </is>
      </c>
      <c r="B6" s="114" t="inlineStr">
        <is>
          <t>[인턴] AI Engineer (LLM / Agent)</t>
        </is>
      </c>
      <c r="C6" s="114" t="inlineStr">
        <is>
          <t>서울 / 원격 병행</t>
        </is>
      </c>
      <c r="D6" s="114" t="inlineStr">
        <is>
          <t>3~6개월 인턴십</t>
        </is>
      </c>
      <c r="E6" s="115" t="inlineStr">
        <is>
          <t>수시 채용</t>
        </is>
      </c>
      <c r="F6" s="114" t="inlineStr">
        <is>
          <t>• Solar 기반 AI 에이전트 워크플로우 설계
• vLLM 기반 고성능 추론 최적화 및 모델 평가
• Document AI 데이터셋 구축</t>
        </is>
      </c>
      <c r="G6" s="114" t="inlineStr">
        <is>
          <t>Python, PyTorch, HuggingFace, LLM Fine-tuning 및 모델 벤치마크</t>
        </is>
      </c>
      <c r="H6" s="114" t="inlineStr">
        <is>
          <t>대규모 논문/문서 데이터 LLM 자동 평가 및 벤치마킹 분석 역량</t>
        </is>
      </c>
      <c r="I6" s="116" t="inlineStr">
        <is>
          <t>https://www.wanted.co.kr/search?query=%EC%97%85%EC%8A%A4%ED%85%8C%EC%9D%B4%EC%A7%80%20%EC%9D%B8%ED%84%B4</t>
        </is>
      </c>
    </row>
    <row r="7" ht="38" customHeight="1">
      <c r="A7" s="115" t="inlineStr">
        <is>
          <t>채널코퍼레이션 (채널톡)</t>
        </is>
      </c>
      <c r="B7" s="114" t="inlineStr">
        <is>
          <t>[인턴] Machine Learning Engineer</t>
        </is>
      </c>
      <c r="C7" s="114" t="inlineStr">
        <is>
          <t>서울 강남구</t>
        </is>
      </c>
      <c r="D7" s="114" t="inlineStr">
        <is>
          <t>인턴십</t>
        </is>
      </c>
      <c r="E7" s="115" t="inlineStr">
        <is>
          <t>상시 채용</t>
        </is>
      </c>
      <c r="F7" s="114" t="inlineStr">
        <is>
          <t>• 고객 상담 자동화 AI Agent 설계
• 데이터 전처리 및 학습 파이프라인 구현
• 멀티모달 검색 및 RAG 시스템 고도화</t>
        </is>
      </c>
      <c r="G7" s="114" t="inlineStr">
        <is>
          <t>Python, ML/DL 기본기, NLP/LLM 프로젝트, RAG 지식</t>
        </is>
      </c>
      <c r="H7" s="114" t="inlineStr">
        <is>
          <t>비정형 텍스트 처리 및 고신뢰도 RAG/QA 검색 시스템 파이프라인</t>
        </is>
      </c>
      <c r="I7" s="116" t="inlineStr">
        <is>
          <t>https://www.wanted.co.kr/search?query=%EC%B1%84%EB%84%80%EC%BD%94%ED%8D%BC%EB%A0%88%EC%9D%B4%EC%85%98%20%EC%9D%B8%ED%84%B4</t>
        </is>
      </c>
    </row>
    <row r="8" ht="38" customHeight="1">
      <c r="A8" s="115" t="inlineStr">
        <is>
          <t>노타 (Nota AI)</t>
        </is>
      </c>
      <c r="B8" s="114" t="inlineStr">
        <is>
          <t>[인턴] NetsPresso R&amp;D AI Engineer</t>
        </is>
      </c>
      <c r="C8" s="114" t="inlineStr">
        <is>
          <t>서울 강남구</t>
        </is>
      </c>
      <c r="D8" s="114" t="inlineStr">
        <is>
          <t>3~6개월 인턴십</t>
        </is>
      </c>
      <c r="E8" s="115" t="inlineStr">
        <is>
          <t>상시 채용</t>
        </is>
      </c>
      <c r="F8" s="114" t="inlineStr">
        <is>
          <t>• 내부 IR(Intermediate Representation) 개발
• PyTorch/ONNX 모델 변환 및 경량화
• On-device AI 가속화 프레임워크 최적화</t>
        </is>
      </c>
      <c r="G8" s="114" t="inlineStr">
        <is>
          <t>PyTorch, ONNX, ExecuTorch, 딥러닝 모델 경량화(Quantization)</t>
        </is>
      </c>
      <c r="H8" s="114" t="inlineStr">
        <is>
          <t>PyTorch 모델링 및 효율적 알고리즘 튜닝 역량</t>
        </is>
      </c>
      <c r="I8" s="116" t="inlineStr">
        <is>
          <t>https://www.wanted.co.kr/search?query=%EB%85%B8%ED%83%80%20NetsPresso</t>
        </is>
      </c>
    </row>
    <row r="9" ht="38" customHeight="1">
      <c r="A9" s="115" t="inlineStr">
        <is>
          <t>피카부랩스</t>
        </is>
      </c>
      <c r="B9" s="114" t="inlineStr">
        <is>
          <t>[인턴] AI 엔지니어</t>
        </is>
      </c>
      <c r="C9" s="114" t="inlineStr">
        <is>
          <t>서울</t>
        </is>
      </c>
      <c r="D9" s="114" t="inlineStr">
        <is>
          <t>인턴십</t>
        </is>
      </c>
      <c r="E9" s="115" t="inlineStr">
        <is>
          <t>상시 채용</t>
        </is>
      </c>
      <c r="F9" s="114" t="inlineStr">
        <is>
          <t>• sLLM 활용 의도(Intent) 추출 모델 설계
• 자연어 명령-액션 변환 모델 학습
• ONNX 온디바이스 모델 최적화</t>
        </is>
      </c>
      <c r="G9" s="114" t="inlineStr">
        <is>
          <t>Python, PyTorch/TensorFlow, 학부 3학년 이상 재학생</t>
        </is>
      </c>
      <c r="H9" s="114" t="inlineStr">
        <is>
          <t>인지/언어학(Language Sciences) 기반 자연어 처리 이해도</t>
        </is>
      </c>
      <c r="I9" s="116" t="inlineStr">
        <is>
          <t>https://www.wanted.co.kr/search?query=%ED%94%BC%EC%B9%B4%EB%B6%80%EB%9E%A9%EC%8A%A4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42" customWidth="1" min="3" max="3"/>
    <col width="30" customWidth="1" min="4" max="4"/>
  </cols>
  <sheetData>
    <row r="1">
      <c r="A1" s="119" t="inlineStr">
        <is>
          <t>2027 UK Summer Internship Master Roadmap (Clean Unapplied Database)</t>
        </is>
      </c>
    </row>
    <row r="2">
      <c r="A2" s="120" t="inlineStr">
        <is>
          <t>Candidate: Kyubin Yun (UCL BSc Psychology and Language Sciences, Class of 2028, Penultimate Year)</t>
        </is>
      </c>
    </row>
    <row r="3">
      <c r="A3" s="121" t="inlineStr">
        <is>
          <t>Zero-Duplicate Filter: All previously applied companies (21 firms) completely purged from all sheets.</t>
        </is>
      </c>
    </row>
    <row r="4"/>
    <row r="5">
      <c r="A5" s="122" t="inlineStr">
        <is>
          <t>Clean UK Tech Available</t>
        </is>
      </c>
      <c r="D5" s="122" t="inlineStr">
        <is>
          <t>Clean UK Finance Available</t>
        </is>
      </c>
      <c r="G5" s="122" t="inlineStr">
        <is>
          <t>Total Clean Database</t>
        </is>
      </c>
      <c r="J5" s="122" t="inlineStr">
        <is>
          <t>Fresh Priority Targets</t>
        </is>
      </c>
    </row>
    <row r="6">
      <c r="A6" s="123" t="inlineStr">
        <is>
          <t>286 Programs</t>
        </is>
      </c>
      <c r="D6" s="123" t="inlineStr">
        <is>
          <t>477 Programs</t>
        </is>
      </c>
      <c r="G6" s="123" t="inlineStr">
        <is>
          <t>763 Programs</t>
        </is>
      </c>
      <c r="J6" s="123" t="inlineStr">
        <is>
          <t>20 Actionable Targets</t>
        </is>
      </c>
    </row>
    <row r="7"/>
    <row r="8"/>
    <row r="9">
      <c r="A9" s="124" t="inlineStr">
        <is>
          <t>Purged Companies Audit (지원 완료로 엑셀 전체에서 완전 삭제된 21개사 목록)</t>
        </is>
      </c>
    </row>
    <row r="10">
      <c r="A10" s="125" t="inlineStr">
        <is>
          <t>Category</t>
        </is>
      </c>
      <c r="B10" s="125" t="inlineStr">
        <is>
          <t>Deleted Companies</t>
        </is>
      </c>
      <c r="C10" s="125" t="inlineStr">
        <is>
          <t>Reason for Deletion</t>
        </is>
      </c>
      <c r="D10" s="125" t="inlineStr">
        <is>
          <t>Audit Reference</t>
        </is>
      </c>
    </row>
    <row r="11">
      <c r="A11" s="126" t="inlineStr">
        <is>
          <t>최근 집중 지원 완료</t>
        </is>
      </c>
      <c r="B11" s="127" t="inlineStr">
        <is>
          <t>Scale AI, Graham Capital, Citi, LSEG, TikTok (5개사)</t>
        </is>
      </c>
      <c r="C11" s="127" t="inlineStr">
        <is>
          <t>지원서 작성 및 최종 제출 완료 확인됨</t>
        </is>
      </c>
      <c r="D11" s="126" t="inlineStr">
        <is>
          <t>Workspace Next Applications List</t>
        </is>
      </c>
    </row>
    <row r="12">
      <c r="A12" s="126" t="inlineStr">
        <is>
          <t>사전 접수 완료</t>
        </is>
      </c>
      <c r="B12" s="127" t="inlineStr">
        <is>
          <t>Barclays, Orbis Investments, Rystad Energy, Temasek, Lazard, RBC, Oliver Wyman (7개사)</t>
        </is>
      </c>
      <c r="C12" s="127" t="inlineStr">
        <is>
          <t>전용 커버레터 및 에세이 제출 완료, 심사 대기 중</t>
        </is>
      </c>
      <c r="D12" s="126" t="inlineStr">
        <is>
          <t>Workspace Submitted List</t>
        </is>
      </c>
    </row>
    <row r="13">
      <c r="A13" s="126" t="inlineStr">
        <is>
          <t>과거 지원 및 Pure STEM 종결</t>
        </is>
      </c>
      <c r="B13" s="127" t="inlineStr">
        <is>
          <t>Point72 / Cubist, G-Research, Citadel / Citadel Securities (3개사)</t>
        </is>
      </c>
      <c r="C13" s="127" t="inlineStr">
        <is>
          <t>지원 이력 확인 및 Pure STEM 필터로 종결 확인됨</t>
        </is>
      </c>
      <c r="D13" s="126" t="inlineStr">
        <is>
          <t>Obsidian Wiki: Internship_Applications_Summary</t>
        </is>
      </c>
    </row>
    <row r="14">
      <c r="A14" s="126" t="inlineStr">
        <is>
          <t>기타 지원 완료 / 심사 중</t>
        </is>
      </c>
      <c r="B14" s="127" t="inlineStr">
        <is>
          <t>BNY Mellon, Figma, Boeing UK, Blackrock Neurotech, Perplexity AI, Overcome (6개사)</t>
        </is>
      </c>
      <c r="C14" s="127" t="inlineStr">
        <is>
          <t>지원서 접수 완료 및 심사 진행 중 확인됨</t>
        </is>
      </c>
      <c r="D14" s="126" t="inlineStr">
        <is>
          <t>Obsidian Wiki: Internship_Applications_Summary</t>
        </is>
      </c>
    </row>
  </sheetData>
  <mergeCells count="8">
    <mergeCell ref="J5:L5"/>
    <mergeCell ref="J6:L6"/>
    <mergeCell ref="D5:F5"/>
    <mergeCell ref="A5:C5"/>
    <mergeCell ref="G5:I5"/>
    <mergeCell ref="G6:I6"/>
    <mergeCell ref="A6:C6"/>
    <mergeCell ref="D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2026-09-18T19:05:52Z</dcterms:created>
  <dcterms:modified xmlns:dcterms="http://purl.org/dc/terms/" xmlns:xsi="http://www.w3.org/2001/XMLSchema-instance" xsi:type="dcterms:W3CDTF">2026-09-18T19:05:56Z</dcterms:modified>
</cp:coreProperties>
</file>